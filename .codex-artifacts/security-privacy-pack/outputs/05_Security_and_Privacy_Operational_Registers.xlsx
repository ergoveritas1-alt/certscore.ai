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f5faac3b194e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5c08a8db49ed4fc3"/>
    <x:sheet xmlns:r="http://schemas.openxmlformats.org/officeDocument/2006/relationships" name="Risk Register" sheetId="2" r:id="R1811284f67334f90"/>
    <x:sheet xmlns:r="http://schemas.openxmlformats.org/officeDocument/2006/relationships" name="Privacy Screening" sheetId="3" r:id="R7b79ee36335d4e76"/>
    <x:sheet xmlns:r="http://schemas.openxmlformats.org/officeDocument/2006/relationships" name="Incident Log" sheetId="4" r:id="Rcd872834c7cb4489"/>
    <x:sheet xmlns:r="http://schemas.openxmlformats.org/officeDocument/2006/relationships" name="Breach Decisions" sheetId="5" r:id="Red3fac3710d64240"/>
    <x:sheet xmlns:r="http://schemas.openxmlformats.org/officeDocument/2006/relationships" name="Review Schedule" sheetId="6" r:id="R9d72b92057c1410f"/>
    <x:sheet xmlns:r="http://schemas.openxmlformats.org/officeDocument/2006/relationships" name="Evidence Index" sheetId="7" r:id="R8198c53db988401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yyyy-mm-dd hh:mm"/>
  </x:numFmts>
  <x:fonts count="10">
    <x:font>
      <x:sz val="11"/>
      <x:name val="Carlito"/>
    </x:font>
    <x:font>
      <x:b/>
      <x:sz val="18"/>
      <x:color rgb="FFFFFFFF"/>
      <x:name val="Carlito"/>
    </x:font>
    <x:font>
      <x:i/>
      <x:sz val="10"/>
      <x:color rgb="FF17324D"/>
      <x:name val="Carlito"/>
    </x:font>
    <x:font>
      <x:b/>
      <x:sz val="12"/>
      <x:color rgb="FF17324D"/>
      <x:name val="Carlito"/>
    </x:font>
    <x:font>
      <x:sz val="11"/>
      <x:color rgb="FF202124"/>
      <x:name val="Carlito"/>
    </x:font>
    <x:font>
      <x:b/>
      <x:sz val="9"/>
      <x:color rgb="FFFFFFFF"/>
      <x:name val="Carlito"/>
    </x:font>
    <x:font>
      <x:sz val="9"/>
      <x:color rgb="FF202124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sz val="9"/>
      <x:color rgb="FF667085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EEF5"/>
      </x:patternFill>
    </x:fill>
    <x:fill>
      <x:patternFill patternType="solid">
        <x:fgColor rgb="FFFFF4CE"/>
      </x:patternFill>
    </x:fill>
    <x:fill>
      <x:patternFill patternType="solid">
        <x:fgColor rgb="FFFFF9E8"/>
      </x:patternFill>
    </x:fill>
    <x:fill>
      <x:patternFill patternType="solid">
        <x:fgColor rgb="FF24527A"/>
      </x:patternFill>
    </x:fill>
    <x:fill>
      <x:patternFill patternType="solid">
        <x:fgColor rgb="FFF2F4F7"/>
      </x:patternFill>
    </x:fill>
  </x:fills>
  <x:borders count="13">
    <x:border/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</x:border>
    <x:border>
      <x:top style="thin">
        <x:color rgb="FFD0D5DD"/>
      </x:top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</x:border>
    <x:border>
      <x:right style="thin">
        <x:color rgb="FFD0D5DD"/>
      </x:right>
    </x:border>
    <x:border>
      <x:left style="thin">
        <x:color rgb="FFD0D5DD"/>
      </x:left>
      <x:bottom style="thin">
        <x:color rgb="FFD0D5DD"/>
      </x:bottom>
    </x:border>
    <x:border>
      <x:bottom style="thin">
        <x:color rgb="FFD0D5DD"/>
      </x:bottom>
    </x:border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</x:borders>
  <x:cellStyleXfs count="1">
    <x:xf numFmtId="0" fontId="0" fillId="0" borderId="0"/>
  </x:cellStyleXfs>
  <x:cellXfs count="7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4" xfId="0" applyNumberFormat="1" applyFont="1" applyFill="1" applyBorder="1"/>
    <x:xf numFmtId="0" fontId="4" fillId="5" borderId="5" xfId="0" applyNumberFormat="1" applyFont="1" applyFill="1" applyBorder="1"/>
    <x:xf numFmtId="0" fontId="4" fillId="5" borderId="6" xfId="0" applyNumberFormat="1" applyFont="1" applyFill="1" applyBorder="1"/>
    <x:xf numFmtId="0" fontId="4" fillId="5" borderId="7" xfId="0" applyNumberFormat="1" applyFont="1" applyFill="1" applyBorder="1"/>
    <x:xf numFmtId="0" fontId="4" fillId="5" borderId="8" xfId="0" applyNumberFormat="1" applyFont="1" applyFill="1" applyBorder="1"/>
    <x:xf numFmtId="0" fontId="4" fillId="5" borderId="9" xfId="0" applyNumberFormat="1" applyFont="1" applyFill="1" applyBorder="1"/>
    <x:xf numFmtId="0" fontId="4" fillId="5" borderId="10" xfId="0" applyNumberFormat="1" applyFont="1" applyFill="1" applyBorder="1"/>
    <x:xf numFmtId="0" fontId="4" fillId="5" borderId="11" xfId="0" applyNumberFormat="1" applyFont="1" applyFill="1" applyBorder="1"/>
    <x:xf numFmtId="0" fontId="4" fillId="5" borderId="4" xfId="0" applyNumberFormat="1" applyFont="1" applyFill="1" applyBorder="1" applyAlignment="1">
      <x:alignment wrapText="1"/>
    </x:xf>
    <x:xf numFmtId="0" fontId="4" fillId="5" borderId="5" xfId="0" applyNumberFormat="1" applyFont="1" applyFill="1" applyBorder="1" applyAlignment="1">
      <x:alignment wrapText="1"/>
    </x:xf>
    <x:xf numFmtId="0" fontId="4" fillId="5" borderId="6" xfId="0" applyNumberFormat="1" applyFont="1" applyFill="1" applyBorder="1" applyAlignment="1">
      <x:alignment wrapText="1"/>
    </x:xf>
    <x:xf numFmtId="0" fontId="4" fillId="5" borderId="7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  <x:xf numFmtId="0" fontId="4" fillId="5" borderId="8" xfId="0" applyNumberFormat="1" applyFont="1" applyFill="1" applyBorder="1" applyAlignment="1">
      <x:alignment wrapText="1"/>
    </x:xf>
    <x:xf numFmtId="0" fontId="4" fillId="5" borderId="9" xfId="0" applyNumberFormat="1" applyFont="1" applyFill="1" applyBorder="1" applyAlignment="1">
      <x:alignment wrapText="1"/>
    </x:xf>
    <x:xf numFmtId="0" fontId="4" fillId="5" borderId="10" xfId="0" applyNumberFormat="1" applyFont="1" applyFill="1" applyBorder="1" applyAlignment="1">
      <x:alignment wrapText="1"/>
    </x:xf>
    <x:xf numFmtId="0" fontId="4" fillId="5" borderId="11" xfId="0" applyNumberFormat="1" applyFont="1" applyFill="1" applyBorder="1" applyAlignment="1">
      <x:alignment wrapText="1"/>
    </x:xf>
    <x:xf numFmtId="0" fontId="4" fillId="5" borderId="4" xfId="0" applyNumberFormat="1" applyFont="1" applyFill="1" applyBorder="1" applyAlignment="1">
      <x:alignment vertical="center" wrapText="1"/>
    </x:xf>
    <x:xf numFmtId="0" fontId="4" fillId="5" borderId="5" xfId="0" applyNumberFormat="1" applyFont="1" applyFill="1" applyBorder="1" applyAlignment="1">
      <x:alignment vertical="center" wrapText="1"/>
    </x:xf>
    <x:xf numFmtId="0" fontId="4" fillId="5" borderId="6" xfId="0" applyNumberFormat="1" applyFont="1" applyFill="1" applyBorder="1" applyAlignment="1">
      <x:alignment vertical="center" wrapText="1"/>
    </x:xf>
    <x:xf numFmtId="0" fontId="4" fillId="5" borderId="7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 applyAlignment="1">
      <x:alignment vertical="center" wrapText="1"/>
    </x:xf>
    <x:xf numFmtId="0" fontId="4" fillId="5" borderId="8" xfId="0" applyNumberFormat="1" applyFont="1" applyFill="1" applyBorder="1" applyAlignment="1">
      <x:alignment vertical="center" wrapText="1"/>
    </x:xf>
    <x:xf numFmtId="0" fontId="4" fillId="5" borderId="9" xfId="0" applyNumberFormat="1" applyFont="1" applyFill="1" applyBorder="1" applyAlignment="1">
      <x:alignment vertical="center" wrapText="1"/>
    </x:xf>
    <x:xf numFmtId="0" fontId="4" fillId="5" borderId="10" xfId="0" applyNumberFormat="1" applyFont="1" applyFill="1" applyBorder="1" applyAlignment="1">
      <x:alignment vertical="center" wrapText="1"/>
    </x:xf>
    <x:xf numFmtId="0" fontId="4" fillId="5" borderId="1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12" xfId="0" applyNumberFormat="1" applyFont="1" applyFill="1" applyBorder="1"/>
    <x:xf numFmtId="0" fontId="5" fillId="6" borderId="12" xfId="0" applyNumberFormat="1" applyFont="1" applyFill="1" applyBorder="1" applyAlignment="1">
      <x:alignment wrapText="1"/>
    </x:xf>
    <x:xf numFmtId="0" fontId="5" fillId="6" borderId="12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/>
    <x:xf numFmtId="0" fontId="6" fillId="0" borderId="10" xfId="0" applyNumberFormat="1" applyFont="1" applyFill="1" applyBorder="1"/>
    <x:xf numFmtId="0" fontId="6" fillId="0" borderId="2" xfId="0" applyNumberFormat="1" applyFont="1" applyFill="1" applyBorder="1"/>
    <x:xf numFmtId="0" fontId="6" fillId="0" borderId="10" xfId="0" applyNumberFormat="1" applyFont="1" applyFill="1" applyBorder="1" applyAlignment="1">
      <x:alignment wrapText="1"/>
    </x:xf>
    <x:xf numFmtId="0" fontId="6" fillId="0" borderId="2" xfId="0" applyNumberFormat="1" applyFont="1" applyFill="1" applyBorder="1" applyAlignment="1">
      <x:alignment wrapText="1"/>
    </x:xf>
    <x:xf numFmtId="0" fontId="6" fillId="0" borderId="10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 wrapText="1"/>
    </x:xf>
    <x:xf numFmtId="0" fontId="6" fillId="3" borderId="10" xfId="0" applyNumberFormat="1" applyFont="1" applyFill="1" applyBorder="1" applyAlignment="1">
      <x:alignment vertical="top" wrapText="1"/>
    </x:xf>
    <x:xf numFmtId="0" fontId="6" fillId="3" borderId="2" xfId="0" applyNumberFormat="1" applyFont="1" applyFill="1" applyBorder="1" applyAlignment="1">
      <x:alignment vertical="top" wrapText="1"/>
    </x:xf>
    <x:xf numFmtId="0" fontId="3" fillId="3" borderId="10" xfId="0" applyNumberFormat="1" applyFont="1" applyFill="1" applyBorder="1" applyAlignment="1">
      <x:alignment vertical="top" wrapText="1"/>
    </x:xf>
    <x:xf numFmtId="0" fontId="3" fillId="3" borderId="2" xfId="0" applyNumberFormat="1" applyFont="1" applyFill="1" applyBorder="1" applyAlignment="1">
      <x:alignment vertical="top" wrapText="1"/>
    </x:xf>
    <x:xf numFmtId="0" fontId="3" fillId="3" borderId="12" xfId="0" applyNumberFormat="1" applyFont="1" applyFill="1" applyBorder="1" applyAlignment="1">
      <x:alignment vertical="top" wrapText="1"/>
    </x:xf>
    <x:xf numFmtId="0" fontId="3" fillId="3" borderId="12" xfId="0" applyNumberFormat="1" applyFont="1" applyFill="1" applyBorder="1" applyAlignment="1">
      <x:alignment horizontal="center" vertical="top" wrapText="1"/>
    </x:xf>
    <x:xf numFmtId="0" fontId="3" fillId="3" borderId="12" xfId="0" applyNumberFormat="1" applyFont="1" applyFill="1" applyBorder="1" applyAlignment="1">
      <x:alignment horizontal="center" vertical="center" wrapText="1"/>
    </x:xf>
    <x:xf numFmtId="0" fontId="7" fillId="6" borderId="0" xfId="0" applyNumberFormat="1" applyFont="1" applyFill="1" applyBorder="1"/>
    <x:xf numFmtId="0" fontId="8" fillId="3" borderId="10" xfId="0" applyNumberFormat="1" applyFont="1" applyFill="1" applyBorder="1" applyAlignment="1">
      <x:alignment vertical="top" wrapText="1"/>
    </x:xf>
    <x:xf numFmtId="0" fontId="8" fillId="3" borderId="2" xfId="0" applyNumberFormat="1" applyFont="1" applyFill="1" applyBorder="1" applyAlignment="1">
      <x:alignment vertical="top" wrapText="1"/>
    </x:xf>
    <x:xf numFmtId="0" fontId="8" fillId="3" borderId="12" xfId="0" applyNumberFormat="1" applyFont="1" applyFill="1" applyBorder="1" applyAlignment="1">
      <x:alignment vertical="top" wrapText="1"/>
    </x:xf>
    <x:xf numFmtId="0" fontId="8" fillId="3" borderId="12" xfId="0" applyNumberFormat="1" applyFont="1" applyFill="1" applyBorder="1" applyAlignment="1">
      <x:alignment horizontal="center" vertical="top" wrapText="1"/>
    </x:xf>
    <x:xf numFmtId="0" fontId="0" fillId="7" borderId="0" xfId="0" applyNumberFormat="1" applyFont="1" applyFill="1" applyBorder="1"/>
    <x:xf numFmtId="0" fontId="9" fillId="7" borderId="0" xfId="0" applyNumberFormat="1" applyFont="1" applyFill="1" applyBorder="1"/>
    <x:xf numFmtId="0" fontId="9" fillId="7" borderId="0" xfId="0" applyNumberFormat="1" applyFont="1" applyFill="1" applyBorder="1" applyAlignment="1">
      <x:alignment wrapText="1"/>
    </x:xf>
    <x:xf numFmtId="0" fontId="6" fillId="0" borderId="10" xfId="0" applyNumberFormat="1" applyFont="1" applyFill="1" applyBorder="1" applyAlignment="1">
      <x:alignment horizontal="center" vertical="top" wrapText="1"/>
    </x:xf>
    <x:xf numFmtId="0" fontId="6" fillId="0" borderId="2" xfId="0" applyNumberFormat="1" applyFont="1" applyFill="1" applyBorder="1" applyAlignment="1">
      <x:alignment horizontal="center" vertical="top" wrapText="1"/>
    </x:xf>
    <x:xf numFmtId="200" fontId="6" fillId="0" borderId="10" xfId="0" applyNumberFormat="1" applyFont="1" applyFill="1" applyBorder="1" applyAlignment="1">
      <x:alignment vertical="top" wrapText="1"/>
    </x:xf>
    <x:xf numFmtId="200" fontId="6" fillId="0" borderId="2" xfId="0" applyNumberFormat="1" applyFont="1" applyFill="1" applyBorder="1" applyAlignment="1">
      <x:alignment vertical="top" wrapText="1"/>
    </x:xf>
    <x:xf numFmtId="201" fontId="6" fillId="0" borderId="10" xfId="0" applyNumberFormat="1" applyFont="1" applyFill="1" applyBorder="1" applyAlignment="1">
      <x:alignment vertical="top" wrapText="1"/>
    </x:xf>
    <x:xf numFmtId="201" fontId="6" fillId="0" borderId="2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/>
    <x:xf numFmtId="200" fontId="0" fillId="0" borderId="0" xfId="0" applyNumberFormat="1" applyFont="1" applyFill="1" applyBorder="1"/>
  </x:cellXfs>
  <x:cellStyles count="1">
    <x:cellStyle name="Normal" xfId="0"/>
  </x:cellStyles>
  <x:dxfs count="5">
    <x:dxf>
      <x:font>
        <x:b/>
        <x:color rgb="FF9B1C1C"/>
      </x:font>
      <x:fill>
        <x:patternFill patternType="solid">
          <x:bgColor rgb="FFFDECEC"/>
        </x:patternFill>
      </x:fill>
    </x:dxf>
    <x:dxf>
      <x:font>
        <x:b/>
        <x:color rgb="FF7A5A00"/>
      </x:font>
      <x:fill>
        <x:patternFill patternType="solid">
          <x:bgColor rgb="FFFFF4CE"/>
        </x:patternFill>
      </x:fill>
    </x:dxf>
    <x:dxf>
      <x:font>
        <x:b/>
        <x:color rgb="FF9B1C1C"/>
      </x:font>
      <x:fill>
        <x:patternFill patternType="solid">
          <x:bgColor rgb="FFFDECEC"/>
        </x:patternFill>
      </x:fill>
    </x:dxf>
    <x:dxf>
      <x:font>
        <x:b/>
        <x:color rgb="FF7A5A00"/>
      </x:font>
      <x:fill>
        <x:patternFill patternType="solid">
          <x:bgColor rgb="FFFFF4CE"/>
        </x:patternFill>
      </x:fill>
    </x:dxf>
    <x:dxf>
      <x:font>
        <x:b/>
        <x:color rgb="FF1B5E20"/>
      </x:font>
      <x:fill>
        <x:patternFill patternType="solid">
          <x:bgColor rgb="FFEAF5E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9fd45b3ccff47d3" /><Relationship Type="http://schemas.openxmlformats.org/officeDocument/2006/relationships/theme" Target="/xl/theme/theme1.xml" Id="R49a71653810c4e2d" /><Relationship Type="http://schemas.openxmlformats.org/officeDocument/2006/relationships/sharedStrings" Target="/xl/sharedStrings.xml" Id="R686e3ea8fc1a4fa4" /><Relationship Type="http://schemas.openxmlformats.org/officeDocument/2006/relationships/worksheet" Target="/xl/worksheets/sheet1.xml" Id="R5c08a8db49ed4fc3" /><Relationship Type="http://schemas.openxmlformats.org/officeDocument/2006/relationships/worksheet" Target="/xl/worksheets/sheet2.xml" Id="R1811284f67334f90" /><Relationship Type="http://schemas.openxmlformats.org/officeDocument/2006/relationships/worksheet" Target="/xl/worksheets/sheet3.xml" Id="R7b79ee36335d4e76" /><Relationship Type="http://schemas.openxmlformats.org/officeDocument/2006/relationships/worksheet" Target="/xl/worksheets/sheet4.xml" Id="Rcd872834c7cb4489" /><Relationship Type="http://schemas.openxmlformats.org/officeDocument/2006/relationships/worksheet" Target="/xl/worksheets/sheet5.xml" Id="Red3fac3710d64240" /><Relationship Type="http://schemas.openxmlformats.org/officeDocument/2006/relationships/worksheet" Target="/xl/worksheets/sheet6.xml" Id="R9d72b92057c1410f" /><Relationship Type="http://schemas.openxmlformats.org/officeDocument/2006/relationships/worksheet" Target="/xl/worksheets/sheet7.xml" Id="R8198c53db988401b" /></Relationships>
</file>

<file path=xl/tables/table1.xml><?xml version="1.0" encoding="utf-8"?>
<x:table xmlns:x="http://schemas.openxmlformats.org/spreadsheetml/2006/main" id="1" name="SecurityRiskRegister" displayName="SecurityRiskRegister" ref="A5:R17" headerRowCount="1" totalsRowCount="0" totalsRowShown="0">
  <x:tableColumns count="18">
    <x:tableColumn id="1" name="Risk ID"/>
    <x:tableColumn id="2" name="Domain"/>
    <x:tableColumn id="3" name="Risk scenario"/>
    <x:tableColumn id="4" name="Inherent likelihood"/>
    <x:tableColumn id="5" name="Inherent impact"/>
    <x:tableColumn id="6" name="Inherent score"/>
    <x:tableColumn id="7" name="Inherent rating"/>
    <x:tableColumn id="8" name="Current controls / evidence to validate"/>
    <x:tableColumn id="9" name="Residual likelihood"/>
    <x:tableColumn id="10" name="Residual impact"/>
    <x:tableColumn id="11" name="Residual score"/>
    <x:tableColumn id="12" name="Residual rating"/>
    <x:tableColumn id="13" name="Treatment / next action"/>
    <x:tableColumn id="14" name="Owner"/>
    <x:tableColumn id="15" name="Target date"/>
    <x:tableColumn id="16" name="Status"/>
    <x:tableColumn id="17" name="Last reviewed"/>
    <x:tableColumn id="18" name="Evidence referen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ivacyScreeningRegister" displayName="PrivacyScreeningRegister" ref="A5:N11" headerRowCount="1" totalsRowCount="0" totalsRowShown="0">
  <x:tableColumns count="14">
    <x:tableColumn id="1" name="ID"/>
    <x:tableColumn id="2" name="Processing activity"/>
    <x:tableColumn id="3" name="Owner"/>
    <x:tableColumn id="4" name="Purpose"/>
    <x:tableColumn id="5" name="Individuals / data categories"/>
    <x:tableColumn id="6" name="Sources / recipients"/>
    <x:tableColumn id="7" name="Role &amp; jurisdictions"/>
    <x:tableColumn id="8" name="Retention / deletion"/>
    <x:tableColumn id="9" name="DPIA trigger check"/>
    <x:tableColumn id="10" name="Key privacy risks / actions"/>
    <x:tableColumn id="11" name="Decision"/>
    <x:tableColumn id="12" name="Review date"/>
    <x:tableColumn id="13" name="Approval"/>
    <x:tableColumn id="14" name="Evidence re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GovernanceSchedule" displayName="GovernanceSchedule" ref="A5:I13" headerRowCount="1" totalsRowCount="0" totalsRowShown="0">
  <x:tableColumns count="9">
    <x:tableColumn id="1" name="Review ID"/>
    <x:tableColumn id="2" name="Activity"/>
    <x:tableColumn id="3" name="Owner"/>
    <x:tableColumn id="4" name="Frequency"/>
    <x:tableColumn id="5" name="Due date"/>
    <x:tableColumn id="6" name="Completed date"/>
    <x:tableColumn id="7" name="Evidence reference"/>
    <x:tableColumn id="8" name="Status"/>
    <x:tableColumn id="9" name="Notes / action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GovernanceEvidenceIndex" displayName="GovernanceEvidenceIndex" ref="A5:G15" headerRowCount="1" totalsRowCount="0" totalsRowShown="0">
  <x:tableColumns count="7">
    <x:tableColumn id="1" name="Evidence ID"/>
    <x:tableColumn id="2" name="Artifact / control"/>
    <x:tableColumn id="3" name="Owner"/>
    <x:tableColumn id="4" name="Status"/>
    <x:tableColumn id="5" name="Approval / review date"/>
    <x:tableColumn id="6" name="Location or reference"/>
    <x:tableColumn id="7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d5a0d4b15754bf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927edefe7c5446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3.xml" Id="Rf77ed4dce5934d4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4.xml" Id="R2660c334a97a4b5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0" hidden="0" customWidth="1"/>
    <x:col min="3" max="3" width="3" hidden="0" customWidth="1"/>
    <x:col min="4" max="4" width="7" hidden="0" customWidth="1"/>
    <x:col min="5" max="5" width="13" hidden="0" customWidth="1"/>
    <x:col min="6" max="6" width="45" hidden="0" customWidth="1"/>
    <x:col min="7" max="7" width="21" hidden="0" customWidth="1"/>
    <x:col min="8" max="8" width="12" hidden="0" customWidth="1"/>
  </x:cols>
  <x:sheetData>
    <x:row r="1" ht="34" customHeight="1">
      <x:c r="A1" s="3" t="str">
        <x:v>CertScore Security &amp; Privacy Operational Registers</x:v>
      </x:c>
      <x:c r="B1" s="3"/>
      <x:c r="C1" s="3"/>
      <x:c r="D1" s="3"/>
      <x:c r="E1" s="3"/>
      <x:c r="F1" s="3"/>
      <x:c r="G1" s="3"/>
      <x:c r="H1" s="3"/>
    </x:row>
    <x:row r="2" ht="31" customHeight="1">
      <x:c r="A2" s="7" t="str">
        <x:v>Version 1.0 | Prepared 2026-08-23 | Seeded records require Product Owner validation before the governance pack is represented as operating.</x:v>
      </x:c>
      <x:c r="B2" s="7"/>
      <x:c r="C2" s="7"/>
      <x:c r="D2" s="7"/>
      <x:c r="E2" s="7"/>
      <x:c r="F2" s="7"/>
      <x:c r="G2" s="7"/>
      <x:c r="H2" s="7"/>
    </x:row>
    <x:row r="4">
      <x:c r="A4" s="10" t="str">
        <x:v>Adoption gate</x:v>
      </x:c>
      <x:c r="B4" s="11"/>
      <x:c r="C4" s="11"/>
      <x:c r="D4" s="11"/>
      <x:c r="E4" s="11"/>
      <x:c r="F4" s="11"/>
      <x:c r="G4" s="11"/>
      <x:c r="H4" s="12"/>
    </x:row>
    <x:row r="5">
      <x:c r="A5" s="32" t="str">
        <x:v>Do not answer the four diligence questions “Yes” until the companion policies are approved, owners/contacts are named, the seeded registers are validated, and the tabletop exercise is completed. This workbook is an operating record, not a certification.</x:v>
      </x:c>
      <x:c r="B5" s="33"/>
      <x:c r="C5" s="33"/>
      <x:c r="D5" s="33"/>
      <x:c r="E5" s="33"/>
      <x:c r="F5" s="33"/>
      <x:c r="G5" s="33"/>
      <x:c r="H5" s="34"/>
    </x:row>
    <x:row r="6">
      <x:c r="A6" s="35"/>
      <x:c r="B6" s="36"/>
      <x:c r="C6" s="36"/>
      <x:c r="D6" s="36"/>
      <x:c r="E6" s="36"/>
      <x:c r="F6" s="36"/>
      <x:c r="G6" s="36"/>
      <x:c r="H6" s="37"/>
    </x:row>
    <x:row r="7">
      <x:c r="A7" s="38"/>
      <x:c r="B7" s="39"/>
      <x:c r="C7" s="39"/>
      <x:c r="D7" s="39"/>
      <x:c r="E7" s="39"/>
      <x:c r="F7" s="39"/>
      <x:c r="G7" s="39"/>
      <x:c r="H7" s="40"/>
    </x:row>
    <x:row r="9">
      <x:c r="A9" s="45" t="str">
        <x:v>Measure</x:v>
      </x:c>
      <x:c r="B9" s="45" t="str">
        <x:v>Current workbook result</x:v>
      </x:c>
      <x:c r="D9" s="60" t="str">
        <x:v>First 60 minutes</x:v>
      </x:c>
      <x:c r="E9" s="60"/>
      <x:c r="F9" s="60"/>
      <x:c r="G9" s="60"/>
      <x:c r="H9" s="60"/>
    </x:row>
    <x:row r="10">
      <x:c r="A10" s="51" t="str">
        <x:v>Seeded risks</x:v>
      </x:c>
      <x:c r="B10" s="59" t="n">
        <x:f>COUNTA('Risk Register'!$A$6:$A$105)</x:f>
        <x:v>12</x:v>
      </x:c>
      <x:c r="D10" s="64" t="str">
        <x:v>1</x:v>
      </x:c>
      <x:c r="E10" s="51" t="str">
        <x:v>Approve</x:v>
      </x:c>
      <x:c r="F10" s="51" t="str">
        <x:v>Sign the three companion policies and enter effective dates.</x:v>
      </x:c>
      <x:c r="G10" s="51" t="str">
        <x:v>Evidence Index</x:v>
      </x:c>
      <x:c r="H10" s="51" t="str">
        <x:v>Required</x:v>
      </x:c>
    </x:row>
    <x:row r="11">
      <x:c r="A11" s="52" t="str">
        <x:v>Critical/high residual risks</x:v>
      </x:c>
      <x:c r="B11" s="59" t="n">
        <x:f>COUNTIF('Risk Register'!$L$6:$L$105,"Critical")+COUNTIF('Risk Register'!$L$6:$L$105,"High")</x:f>
        <x:v>2</x:v>
      </x:c>
      <x:c r="D11" s="64" t="str">
        <x:v>2</x:v>
      </x:c>
      <x:c r="E11" s="52" t="str">
        <x:v>Assign</x:v>
      </x:c>
      <x:c r="F11" s="52" t="str">
        <x:v>Name incident, technical, privacy, and communications contacts.</x:v>
      </x:c>
      <x:c r="G11" s="52" t="str">
        <x:v>Incident procedure</x:v>
      </x:c>
      <x:c r="H11" s="52" t="str">
        <x:v>Required</x:v>
      </x:c>
    </x:row>
    <x:row r="12">
      <x:c r="A12" s="52" t="str">
        <x:v>Privacy items requiring review</x:v>
      </x:c>
      <x:c r="B12" s="59" t="n">
        <x:f>COUNTIF('Privacy Screening'!$K$6:$K$105,"Review required")+COUNTIF('Privacy Screening'!$K$6:$K$105,"DPIA required")</x:f>
        <x:v>6</x:v>
      </x:c>
      <x:c r="D12" s="64" t="str">
        <x:v>3</x:v>
      </x:c>
      <x:c r="E12" s="52" t="str">
        <x:v>Validate</x:v>
      </x:c>
      <x:c r="F12" s="52" t="str">
        <x:v>Review seeded risks and privacy entries against actual practices.</x:v>
      </x:c>
      <x:c r="G12" s="52" t="str">
        <x:v>Risk / Privacy tabs</x:v>
      </x:c>
      <x:c r="H12" s="52" t="str">
        <x:v>Required</x:v>
      </x:c>
    </x:row>
    <x:row r="13">
      <x:c r="A13" s="52" t="str">
        <x:v>Overdue scheduled actions</x:v>
      </x:c>
      <x:c r="B13" s="59" t="n">
        <x:f>COUNTIF('Review Schedule'!$H$6:$H$105,"Overdue")</x:f>
        <x:v>0</x:v>
      </x:c>
      <x:c r="D13" s="64" t="str">
        <x:v>4</x:v>
      </x:c>
      <x:c r="E13" s="52" t="str">
        <x:v>Schedule</x:v>
      </x:c>
      <x:c r="F13" s="52" t="str">
        <x:v>Accept or adjust the quarterly and annual review dates.</x:v>
      </x:c>
      <x:c r="G13" s="52" t="str">
        <x:v>Review Schedule</x:v>
      </x:c>
      <x:c r="H13" s="52" t="str">
        <x:v>Required</x:v>
      </x:c>
    </x:row>
    <x:row r="14">
      <x:c r="A14" s="52" t="str">
        <x:v>Recorded incidents</x:v>
      </x:c>
      <x:c r="B14" s="59" t="n">
        <x:f>COUNTA('Incident Log'!$A$6:$A$105)</x:f>
        <x:v>0</x:v>
      </x:c>
      <x:c r="D14" s="64" t="str">
        <x:v>5</x:v>
      </x:c>
      <x:c r="E14" s="52" t="str">
        <x:v>Exercise</x:v>
      </x:c>
      <x:c r="F14" s="52" t="str">
        <x:v>Run the tabletop and record gaps, owners, and due dates.</x:v>
      </x:c>
      <x:c r="G14" s="52" t="str">
        <x:v>Adoption record</x:v>
      </x:c>
      <x:c r="H14" s="52" t="str">
        <x:v>Required</x:v>
      </x:c>
    </x:row>
    <x:row r="15">
      <x:c r="D15" s="64" t="str">
        <x:v>6</x:v>
      </x:c>
      <x:c r="E15" s="52" t="str">
        <x:v>Respond</x:v>
      </x:c>
      <x:c r="F15" s="52" t="str">
        <x:v>Only then use the permitted “Yes” questionnaire wording.</x:v>
      </x:c>
      <x:c r="G15" s="52" t="str">
        <x:v>Adoption record</x:v>
      </x:c>
      <x:c r="H15" s="52" t="str">
        <x:v>Required</x:v>
      </x:c>
    </x:row>
  </x:sheetData>
  <x:mergeCells>
    <x:mergeCell ref="A1:H1"/>
    <x:mergeCell ref="A2:H2"/>
    <x:mergeCell ref="A4:H4"/>
    <x:mergeCell ref="A5:H7"/>
    <x:mergeCell ref="D9:H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0" hidden="0" customWidth="1"/>
    <x:col min="3" max="3" width="46" hidden="0" customWidth="1"/>
    <x:col min="4" max="4" width="11" hidden="0" customWidth="1"/>
    <x:col min="5" max="5" width="11" hidden="0" customWidth="1"/>
    <x:col min="6" max="6" width="10" hidden="0" customWidth="1"/>
    <x:col min="7" max="7" width="12" hidden="0" customWidth="1"/>
    <x:col min="8" max="8" width="52" hidden="0" customWidth="1"/>
    <x:col min="9" max="9" width="11" hidden="0" customWidth="1"/>
    <x:col min="10" max="10" width="11" hidden="0" customWidth="1"/>
    <x:col min="11" max="11" width="10" hidden="0" customWidth="1"/>
    <x:col min="12" max="12" width="12" hidden="0" customWidth="1"/>
    <x:col min="13" max="13" width="48" hidden="0" customWidth="1"/>
    <x:col min="14" max="14" width="24" hidden="0" customWidth="1"/>
    <x:col min="15" max="15" width="13" hidden="0" customWidth="1"/>
    <x:col min="16" max="16" width="16" hidden="0" customWidth="1"/>
    <x:col min="17" max="17" width="13" hidden="0" customWidth="1"/>
    <x:col min="18" max="18" width="28" hidden="0" customWidth="1"/>
  </x:cols>
  <x:sheetData>
    <x:row r="1" ht="34" customHeight="1">
      <x:c r="A1" s="3" t="str">
        <x:v>Security Risk Register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</x:row>
    <x:row r="2" ht="31" customHeight="1">
      <x:c r="A2" s="7" t="str">
        <x:v>Seeded risk scenarios are a starting point. Validate likelihood, impact, controls, owners, and evidence against the actual environment before approval.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</x:row>
    <x:row r="4">
      <x:c r="A4" s="67" t="str">
        <x:v>Scoring: likelihood (1-5) × impact (1-5). Low 1-4 | Moderate 5-9 | High 10-14 | Critical 15-25.</x:v>
      </x:c>
      <x:c r="B4" s="67"/>
      <x:c r="C4" s="67"/>
      <x:c r="D4" s="67"/>
      <x:c r="E4" s="67"/>
      <x:c r="F4" s="67"/>
      <x:c r="G4" s="67"/>
      <x:c r="H4" s="67"/>
      <x:c r="I4" s="67"/>
      <x:c r="J4" s="67"/>
      <x:c r="K4" s="67"/>
      <x:c r="L4" s="67"/>
      <x:c r="M4" s="67"/>
      <x:c r="N4" s="67"/>
      <x:c r="O4" s="67"/>
      <x:c r="P4" s="67"/>
      <x:c r="Q4" s="67"/>
      <x:c r="R4" s="67"/>
    </x:row>
    <x:row r="5" ht="39" customHeight="1">
      <x:c r="A5" s="45" t="str">
        <x:v>Risk ID</x:v>
      </x:c>
      <x:c r="B5" s="45" t="str">
        <x:v>Domain</x:v>
      </x:c>
      <x:c r="C5" s="45" t="str">
        <x:v>Risk scenario</x:v>
      </x:c>
      <x:c r="D5" s="45" t="str">
        <x:v>Inherent likelihood</x:v>
      </x:c>
      <x:c r="E5" s="45" t="str">
        <x:v>Inherent impact</x:v>
      </x:c>
      <x:c r="F5" s="45" t="str">
        <x:v>Inherent score</x:v>
      </x:c>
      <x:c r="G5" s="45" t="str">
        <x:v>Inherent rating</x:v>
      </x:c>
      <x:c r="H5" s="45" t="str">
        <x:v>Current controls / evidence to validate</x:v>
      </x:c>
      <x:c r="I5" s="45" t="str">
        <x:v>Residual likelihood</x:v>
      </x:c>
      <x:c r="J5" s="45" t="str">
        <x:v>Residual impact</x:v>
      </x:c>
      <x:c r="K5" s="45" t="str">
        <x:v>Residual score</x:v>
      </x:c>
      <x:c r="L5" s="45" t="str">
        <x:v>Residual rating</x:v>
      </x:c>
      <x:c r="M5" s="45" t="str">
        <x:v>Treatment / next action</x:v>
      </x:c>
      <x:c r="N5" s="45" t="str">
        <x:v>Owner</x:v>
      </x:c>
      <x:c r="O5" s="45" t="str">
        <x:v>Target date</x:v>
      </x:c>
      <x:c r="P5" s="45" t="str">
        <x:v>Status</x:v>
      </x:c>
      <x:c r="Q5" s="45" t="str">
        <x:v>Last reviewed</x:v>
      </x:c>
      <x:c r="R5" s="45" t="str">
        <x:v>Evidence reference</x:v>
      </x:c>
    </x:row>
    <x:row r="6">
      <x:c r="A6" s="51" t="str">
        <x:v>R-001</x:v>
      </x:c>
      <x:c r="B6" s="51" t="str">
        <x:v>Identity / AWS</x:v>
      </x:c>
      <x:c r="C6" s="51" t="str">
        <x:v>Compromised privileged AWS or deployment credentials permit unauthorized production access or change.</x:v>
      </x:c>
      <x:c r="D6" s="68" t="n">
        <x:v>3</x:v>
      </x:c>
      <x:c r="E6" s="68" t="n">
        <x:v>5</x:v>
      </x:c>
      <x:c r="F6" s="68" t="n">
        <x:f>D6*E6</x:f>
        <x:v>15</x:v>
      </x:c>
      <x:c r="G6" s="51" t="str">
        <x:f>IF(F6&gt;=15,"Critical",IF(F6&gt;=10,"High",IF(F6&gt;=5,"Moderate","Low")))</x:f>
        <x:v>Critical</x:v>
      </x:c>
      <x:c r="H6" s="51" t="str">
        <x:v>Validate: MFA, least privilege, role separation, short-lived credentials, alerting, and access review.</x:v>
      </x:c>
      <x:c r="I6" s="68" t="n">
        <x:v>2</x:v>
      </x:c>
      <x:c r="J6" s="68" t="n">
        <x:v>5</x:v>
      </x:c>
      <x:c r="K6" s="68" t="n">
        <x:f>I6*J6</x:f>
        <x:v>10</x:v>
      </x:c>
      <x:c r="L6" s="68" t="str">
        <x:f>IF(K6&gt;=15,"Critical",IF(K6&gt;=10,"High",IF(K6&gt;=5,"Moderate","Low")))</x:f>
        <x:v>High</x:v>
      </x:c>
      <x:c r="M6" s="51" t="str">
        <x:v>Validate controls; document quarterly privileged-access review and emergency revocation.</x:v>
      </x:c>
      <x:c r="N6" s="51" t="str">
        <x:v>Engineering / Operations</x:v>
      </x:c>
      <x:c r="O6" s="70" t="n">
        <x:v>46280</x:v>
      </x:c>
      <x:c r="P6" s="70" t="str">
        <x:v>Open - validate</x:v>
      </x:c>
      <x:c r="Q6" s="70" t="n">
        <x:v>46257</x:v>
      </x:c>
      <x:c r="R6" s="51" t="str">
        <x:v>[IAM review / alert evidence]</x:v>
      </x:c>
    </x:row>
    <x:row r="7">
      <x:c r="A7" s="52" t="str">
        <x:v>R-002</x:v>
      </x:c>
      <x:c r="B7" s="52" t="str">
        <x:v>Software supply chain</x:v>
      </x:c>
      <x:c r="C7" s="52" t="str">
        <x:v>A compromised repository, dependency, CI workflow, or build artifact introduces unauthorized code.</x:v>
      </x:c>
      <x:c r="D7" s="69" t="n">
        <x:v>3</x:v>
      </x:c>
      <x:c r="E7" s="69" t="n">
        <x:v>5</x:v>
      </x:c>
      <x:c r="F7" s="69" t="n">
        <x:f>D7*E7</x:f>
        <x:v>15</x:v>
      </x:c>
      <x:c r="G7" s="52" t="str">
        <x:f>IF(F7&gt;=15,"Critical",IF(F7&gt;=10,"High",IF(F7&gt;=5,"Moderate","Low")))</x:f>
        <x:v>Critical</x:v>
      </x:c>
      <x:c r="H7" s="52" t="str">
        <x:v>Validate: protected branches, review rules, dependency scanning, pinned actions, provenance, and release permissions.</x:v>
      </x:c>
      <x:c r="I7" s="69" t="n">
        <x:v>2</x:v>
      </x:c>
      <x:c r="J7" s="69" t="n">
        <x:v>5</x:v>
      </x:c>
      <x:c r="K7" s="69" t="n">
        <x:f>I7*J7</x:f>
        <x:v>10</x:v>
      </x:c>
      <x:c r="L7" s="69" t="str">
        <x:f>IF(K7&gt;=15,"Critical",IF(K7&gt;=10,"High",IF(K7&gt;=5,"Moderate","Low")))</x:f>
        <x:v>High</x:v>
      </x:c>
      <x:c r="M7" s="52" t="str">
        <x:v>Confirm release controls and dependency response workflow; retain screenshots or configuration exports.</x:v>
      </x:c>
      <x:c r="N7" s="52" t="str">
        <x:v>Engineering</x:v>
      </x:c>
      <x:c r="O7" s="71" t="n">
        <x:v>46295</x:v>
      </x:c>
      <x:c r="P7" s="71" t="str">
        <x:v>Open - validate</x:v>
      </x:c>
      <x:c r="Q7" s="71" t="n">
        <x:v>46257</x:v>
      </x:c>
      <x:c r="R7" s="52" t="str">
        <x:v>[repository settings / CI evidence]</x:v>
      </x:c>
    </x:row>
    <x:row r="8">
      <x:c r="A8" s="52" t="str">
        <x:v>R-003</x:v>
      </x:c>
      <x:c r="B8" s="52" t="str">
        <x:v>Authentication</x:v>
      </x:c>
      <x:c r="C8" s="52" t="str">
        <x:v>Account takeover or session compromise exposes customer reports, scan data, or administrative functions.</x:v>
      </x:c>
      <x:c r="D8" s="69" t="n">
        <x:v>3</x:v>
      </x:c>
      <x:c r="E8" s="69" t="n">
        <x:v>4</x:v>
      </x:c>
      <x:c r="F8" s="69" t="n">
        <x:f>D8*E8</x:f>
        <x:v>12</x:v>
      </x:c>
      <x:c r="G8" s="52" t="str">
        <x:f>IF(F8&gt;=15,"Critical",IF(F8&gt;=10,"High",IF(F8&gt;=5,"Moderate","Low")))</x:f>
        <x:v>High</x:v>
      </x:c>
      <x:c r="H8" s="52" t="str">
        <x:v>Validate: authentication provider controls, session expiry, MFA for privileged roles, rate limits, and audit logs.</x:v>
      </x:c>
      <x:c r="I8" s="69" t="n">
        <x:v>2</x:v>
      </x:c>
      <x:c r="J8" s="69" t="n">
        <x:v>4</x:v>
      </x:c>
      <x:c r="K8" s="69" t="n">
        <x:f>I8*J8</x:f>
        <x:v>8</x:v>
      </x:c>
      <x:c r="L8" s="69" t="str">
        <x:f>IF(K8&gt;=15,"Critical",IF(K8&gt;=10,"High",IF(K8&gt;=5,"Moderate","Low")))</x:f>
        <x:v>Moderate</x:v>
      </x:c>
      <x:c r="M8" s="52" t="str">
        <x:v>Review privileged and customer authentication, session revocation, and suspicious-login monitoring.</x:v>
      </x:c>
      <x:c r="N8" s="52" t="str">
        <x:v>Product / Engineering</x:v>
      </x:c>
      <x:c r="O8" s="71" t="n">
        <x:v>46295</x:v>
      </x:c>
      <x:c r="P8" s="71" t="str">
        <x:v>Open - validate</x:v>
      </x:c>
      <x:c r="Q8" s="71" t="n">
        <x:v>46257</x:v>
      </x:c>
      <x:c r="R8" s="52" t="str">
        <x:v>[auth configuration / test]</x:v>
      </x:c>
    </x:row>
    <x:row r="9">
      <x:c r="A9" s="52" t="str">
        <x:v>R-004</x:v>
      </x:c>
      <x:c r="B9" s="52" t="str">
        <x:v>Secrets / logging</x:v>
      </x:c>
      <x:c r="C9" s="52" t="str">
        <x:v>Secrets, bearer tokens, sensitive URLs, or personal data are exposed through logs, artifacts, tickets, or source control.</x:v>
      </x:c>
      <x:c r="D9" s="69" t="n">
        <x:v>3</x:v>
      </x:c>
      <x:c r="E9" s="69" t="n">
        <x:v>5</x:v>
      </x:c>
      <x:c r="F9" s="69" t="n">
        <x:f>D9*E9</x:f>
        <x:v>15</x:v>
      </x:c>
      <x:c r="G9" s="52" t="str">
        <x:f>IF(F9&gt;=15,"Critical",IF(F9&gt;=10,"High",IF(F9&gt;=5,"Moderate","Low")))</x:f>
        <x:v>Critical</x:v>
      </x:c>
      <x:c r="H9" s="52" t="str">
        <x:v>Repository guidance prohibits sensitive logging; validate automated secret scanning, redaction, retention, and access restrictions.</x:v>
      </x:c>
      <x:c r="I9" s="69" t="n">
        <x:v>2</x:v>
      </x:c>
      <x:c r="J9" s="69" t="n">
        <x:v>4</x:v>
      </x:c>
      <x:c r="K9" s="69" t="n">
        <x:f>I9*J9</x:f>
        <x:v>8</x:v>
      </x:c>
      <x:c r="L9" s="69" t="str">
        <x:f>IF(K9&gt;=15,"Critical",IF(K9&gt;=10,"High",IF(K9&gt;=5,"Moderate","Low")))</x:f>
        <x:v>Moderate</x:v>
      </x:c>
      <x:c r="M9" s="52" t="str">
        <x:v>Test secret detection and log redaction; document emergency rotation and artifact removal procedure.</x:v>
      </x:c>
      <x:c r="N9" s="52" t="str">
        <x:v>Engineering / Operations</x:v>
      </x:c>
      <x:c r="O9" s="71" t="n">
        <x:v>46280</x:v>
      </x:c>
      <x:c r="P9" s="71" t="str">
        <x:v>Open - validate</x:v>
      </x:c>
      <x:c r="Q9" s="71" t="n">
        <x:v>46257</x:v>
      </x:c>
      <x:c r="R9" s="52" t="str">
        <x:v>[test results / logging config]</x:v>
      </x:c>
    </x:row>
    <x:row r="10">
      <x:c r="A10" s="52" t="str">
        <x:v>R-005</x:v>
      </x:c>
      <x:c r="B10" s="52" t="str">
        <x:v>Scan evidence</x:v>
      </x:c>
      <x:c r="C10" s="52" t="str">
        <x:v>Retained screenshots, policy text, runtime evidence, or reports contain unexpected personal/confidential data and are disclosed or retained excessively.</x:v>
      </x:c>
      <x:c r="D10" s="69" t="n">
        <x:v>3</x:v>
      </x:c>
      <x:c r="E10" s="69" t="n">
        <x:v>4</x:v>
      </x:c>
      <x:c r="F10" s="69" t="n">
        <x:f>D10*E10</x:f>
        <x:v>12</x:v>
      </x:c>
      <x:c r="G10" s="52" t="str">
        <x:f>IF(F10&gt;=15,"Critical",IF(F10&gt;=10,"High",IF(F10&gt;=5,"Moderate","Low")))</x:f>
        <x:v>High</x:v>
      </x:c>
      <x:c r="H10" s="52" t="str">
        <x:v>Validate typed/bounded evidence contracts, restricted storage, retention, access logging, and deletion behavior.</x:v>
      </x:c>
      <x:c r="I10" s="69" t="n">
        <x:v>2</x:v>
      </x:c>
      <x:c r="J10" s="69" t="n">
        <x:v>4</x:v>
      </x:c>
      <x:c r="K10" s="69" t="n">
        <x:f>I10*J10</x:f>
        <x:v>8</x:v>
      </x:c>
      <x:c r="L10" s="69" t="str">
        <x:f>IF(K10&gt;=15,"Critical",IF(K10&gt;=10,"High",IF(K10&gt;=5,"Moderate","Low")))</x:f>
        <x:v>Moderate</x:v>
      </x:c>
      <x:c r="M10" s="52" t="str">
        <x:v>Map artifact classes and retention; verify permissions and deletion; minimize unbounded/sensitive content.</x:v>
      </x:c>
      <x:c r="N10" s="52" t="str">
        <x:v>Product Owner</x:v>
      </x:c>
      <x:c r="O10" s="71" t="n">
        <x:v>46310</x:v>
      </x:c>
      <x:c r="P10" s="71" t="str">
        <x:v>Open - validate</x:v>
      </x:c>
      <x:c r="Q10" s="71" t="n">
        <x:v>46257</x:v>
      </x:c>
      <x:c r="R10" s="52" t="str">
        <x:v>[data map / retention evidence]</x:v>
      </x:c>
    </x:row>
    <x:row r="11">
      <x:c r="A11" s="52" t="str">
        <x:v>R-006</x:v>
      </x:c>
      <x:c r="B11" s="52" t="str">
        <x:v>Availability</x:v>
      </x:c>
      <x:c r="C11" s="52" t="str">
        <x:v>DDoS, runaway work, capacity failure, or dependency outage makes scanning or reporting unavailable.</x:v>
      </x:c>
      <x:c r="D11" s="69" t="n">
        <x:v>3</x:v>
      </x:c>
      <x:c r="E11" s="69" t="n">
        <x:v>4</x:v>
      </x:c>
      <x:c r="F11" s="69" t="n">
        <x:f>D11*E11</x:f>
        <x:v>12</x:v>
      </x:c>
      <x:c r="G11" s="52" t="str">
        <x:f>IF(F11&gt;=15,"Critical",IF(F11&gt;=10,"High",IF(F11&gt;=5,"Moderate","Low")))</x:f>
        <x:v>High</x:v>
      </x:c>
      <x:c r="H11" s="52" t="str">
        <x:v>Validate quotas, bounded scan execution, alarms, retry behavior, degradation, and recovery communications.</x:v>
      </x:c>
      <x:c r="I11" s="69" t="n">
        <x:v>2</x:v>
      </x:c>
      <x:c r="J11" s="69" t="n">
        <x:v>3</x:v>
      </x:c>
      <x:c r="K11" s="69" t="n">
        <x:f>I11*J11</x:f>
        <x:v>6</x:v>
      </x:c>
      <x:c r="L11" s="69" t="str">
        <x:f>IF(K11&gt;=15,"Critical",IF(K11&gt;=10,"High",IF(K11&gt;=5,"Moderate","Low")))</x:f>
        <x:v>Moderate</x:v>
      </x:c>
      <x:c r="M11" s="52" t="str">
        <x:v>Document availability objectives and run an outage/recovery exercise without reducing evidence quality.</x:v>
      </x:c>
      <x:c r="N11" s="52" t="str">
        <x:v>Operations</x:v>
      </x:c>
      <x:c r="O11" s="71" t="n">
        <x:v>46326</x:v>
      </x:c>
      <x:c r="P11" s="71" t="str">
        <x:v>Open - validate</x:v>
      </x:c>
      <x:c r="Q11" s="71" t="n">
        <x:v>46257</x:v>
      </x:c>
      <x:c r="R11" s="52" t="str">
        <x:v>[alarms / exercise record]</x:v>
      </x:c>
    </x:row>
    <x:row r="12">
      <x:c r="A12" s="52" t="str">
        <x:v>R-007</x:v>
      </x:c>
      <x:c r="B12" s="52" t="str">
        <x:v>Backup / recovery</x:v>
      </x:c>
      <x:c r="C12" s="52" t="str">
        <x:v>Data, configuration, or deployment state cannot be restored accurately after loss or compromise.</x:v>
      </x:c>
      <x:c r="D12" s="69" t="n">
        <x:v>2</x:v>
      </x:c>
      <x:c r="E12" s="69" t="n">
        <x:v>5</x:v>
      </x:c>
      <x:c r="F12" s="69" t="n">
        <x:f>D12*E12</x:f>
        <x:v>10</x:v>
      </x:c>
      <x:c r="G12" s="52" t="str">
        <x:f>IF(F12&gt;=15,"Critical",IF(F12&gt;=10,"High",IF(F12&gt;=5,"Moderate","Low")))</x:f>
        <x:v>High</x:v>
      </x:c>
      <x:c r="H12" s="52" t="str">
        <x:v>Validate backup scope, versioned infrastructure/code, restore permissions, retention, and recovery testing.</x:v>
      </x:c>
      <x:c r="I12" s="69" t="n">
        <x:v>2</x:v>
      </x:c>
      <x:c r="J12" s="69" t="n">
        <x:v>4</x:v>
      </x:c>
      <x:c r="K12" s="69" t="n">
        <x:f>I12*J12</x:f>
        <x:v>8</x:v>
      </x:c>
      <x:c r="L12" s="69" t="str">
        <x:f>IF(K12&gt;=15,"Critical",IF(K12&gt;=10,"High",IF(K12&gt;=5,"Moderate","Low")))</x:f>
        <x:v>Moderate</x:v>
      </x:c>
      <x:c r="M12" s="52" t="str">
        <x:v>Define recovery sources and complete a documented restore test for critical records and configuration.</x:v>
      </x:c>
      <x:c r="N12" s="52" t="str">
        <x:v>Operations</x:v>
      </x:c>
      <x:c r="O12" s="71" t="n">
        <x:v>46326</x:v>
      </x:c>
      <x:c r="P12" s="71" t="str">
        <x:v>Open - validate</x:v>
      </x:c>
      <x:c r="Q12" s="71" t="n">
        <x:v>46257</x:v>
      </x:c>
      <x:c r="R12" s="52" t="str">
        <x:v>[restore test]</x:v>
      </x:c>
    </x:row>
    <x:row r="13">
      <x:c r="A13" s="52" t="str">
        <x:v>R-008</x:v>
      </x:c>
      <x:c r="B13" s="52" t="str">
        <x:v>Third parties</x:v>
      </x:c>
      <x:c r="C13" s="52" t="str">
        <x:v>A processor, model/API provider, identity service, or other critical supplier fails, changes terms/location, or suffers a breach.</x:v>
      </x:c>
      <x:c r="D13" s="69" t="n">
        <x:v>3</x:v>
      </x:c>
      <x:c r="E13" s="69" t="n">
        <x:v>4</x:v>
      </x:c>
      <x:c r="F13" s="69" t="n">
        <x:f>D13*E13</x:f>
        <x:v>12</x:v>
      </x:c>
      <x:c r="G13" s="52" t="str">
        <x:f>IF(F13&gt;=15,"Critical",IF(F13&gt;=10,"High",IF(F13&gt;=5,"Moderate","Low")))</x:f>
        <x:v>High</x:v>
      </x:c>
      <x:c r="H13" s="52" t="str">
        <x:v>Validate vendor inventory, contracts, security/privacy review, subprocessors, incident notice, and exit plan.</x:v>
      </x:c>
      <x:c r="I13" s="69" t="n">
        <x:v>2</x:v>
      </x:c>
      <x:c r="J13" s="69" t="n">
        <x:v>4</x:v>
      </x:c>
      <x:c r="K13" s="69" t="n">
        <x:f>I13*J13</x:f>
        <x:v>8</x:v>
      </x:c>
      <x:c r="L13" s="69" t="str">
        <x:f>IF(K13&gt;=15,"Critical",IF(K13&gt;=10,"High",IF(K13&gt;=5,"Moderate","Low")))</x:f>
        <x:v>Moderate</x:v>
      </x:c>
      <x:c r="M13" s="52" t="str">
        <x:v>Create/validate critical supplier inventory and record review, notice, transfer, retention, and continuity evidence.</x:v>
      </x:c>
      <x:c r="N13" s="52" t="str">
        <x:v>Product Owner</x:v>
      </x:c>
      <x:c r="O13" s="71" t="n">
        <x:v>46310</x:v>
      </x:c>
      <x:c r="P13" s="71" t="str">
        <x:v>Open - validate</x:v>
      </x:c>
      <x:c r="Q13" s="71" t="n">
        <x:v>46257</x:v>
      </x:c>
      <x:c r="R13" s="52" t="str">
        <x:v>[vendor register / contracts]</x:v>
      </x:c>
    </x:row>
    <x:row r="14">
      <x:c r="A14" s="52" t="str">
        <x:v>R-009</x:v>
      </x:c>
      <x:c r="B14" s="52" t="str">
        <x:v>Scanner boundaries</x:v>
      </x:c>
      <x:c r="C14" s="52" t="str">
        <x:v>Scanner inputs or runtime behavior are abused to access unintended resources, exceed authorization, or create harmful traffic.</x:v>
      </x:c>
      <x:c r="D14" s="69" t="n">
        <x:v>3</x:v>
      </x:c>
      <x:c r="E14" s="69" t="n">
        <x:v>5</x:v>
      </x:c>
      <x:c r="F14" s="69" t="n">
        <x:f>D14*E14</x:f>
        <x:v>15</x:v>
      </x:c>
      <x:c r="G14" s="52" t="str">
        <x:f>IF(F14&gt;=15,"Critical",IF(F14&gt;=10,"High",IF(F14&gt;=5,"Moderate","Low")))</x:f>
        <x:v>Critical</x:v>
      </x:c>
      <x:c r="H14" s="52" t="str">
        <x:v>WC01/WS01 responsibility boundary and bounded public-site scanning are documented; validate target restrictions, SSRF defenses, egress, and rate controls.</x:v>
      </x:c>
      <x:c r="I14" s="69" t="n">
        <x:v>2</x:v>
      </x:c>
      <x:c r="J14" s="69" t="n">
        <x:v>4</x:v>
      </x:c>
      <x:c r="K14" s="69" t="n">
        <x:f>I14*J14</x:f>
        <x:v>8</x:v>
      </x:c>
      <x:c r="L14" s="69" t="str">
        <x:f>IF(K14&gt;=15,"Critical",IF(K14&gt;=10,"High",IF(K14&gt;=5,"Moderate","Low")))</x:f>
        <x:v>Moderate</x:v>
      </x:c>
      <x:c r="M14" s="52" t="str">
        <x:v>Coordinate with WS01 owner to verify input validation, network boundaries, identity, rate limits, and retained test evidence.</x:v>
      </x:c>
      <x:c r="N14" s="52" t="str">
        <x:v>Product / Scanner Operations</x:v>
      </x:c>
      <x:c r="O14" s="71" t="n">
        <x:v>46295</x:v>
      </x:c>
      <x:c r="P14" s="71" t="str">
        <x:v>Open - validate</x:v>
      </x:c>
      <x:c r="Q14" s="71" t="n">
        <x:v>46257</x:v>
      </x:c>
      <x:c r="R14" s="52" t="str">
        <x:v>[WS01 control evidence]</x:v>
      </x:c>
    </x:row>
    <x:row r="15">
      <x:c r="A15" s="52" t="str">
        <x:v>R-010</x:v>
      </x:c>
      <x:c r="B15" s="52" t="str">
        <x:v>Detection / response</x:v>
      </x:c>
      <x:c r="C15" s="52" t="str">
        <x:v>A compromise or data breach is detected late or handled inconsistently because alerting, contacts, or response authority are incomplete.</x:v>
      </x:c>
      <x:c r="D15" s="69" t="n">
        <x:v>3</x:v>
      </x:c>
      <x:c r="E15" s="69" t="n">
        <x:v>5</x:v>
      </x:c>
      <x:c r="F15" s="69" t="n">
        <x:f>D15*E15</x:f>
        <x:v>15</x:v>
      </x:c>
      <x:c r="G15" s="52" t="str">
        <x:f>IF(F15&gt;=15,"Critical",IF(F15&gt;=10,"High",IF(F15&gt;=5,"Moderate","Low")))</x:f>
        <x:v>Critical</x:v>
      </x:c>
      <x:c r="H15" s="52" t="str">
        <x:v>New incident/breach procedure is ready for adoption; actual monitoring and contacts require validation.</x:v>
      </x:c>
      <x:c r="I15" s="69" t="n">
        <x:v>2</x:v>
      </x:c>
      <x:c r="J15" s="69" t="n">
        <x:v>4</x:v>
      </x:c>
      <x:c r="K15" s="69" t="n">
        <x:f>I15*J15</x:f>
        <x:v>8</x:v>
      </x:c>
      <x:c r="L15" s="69" t="str">
        <x:f>IF(K15&gt;=15,"Critical",IF(K15&gt;=10,"High",IF(K15&gt;=5,"Moderate","Low")))</x:f>
        <x:v>Moderate</x:v>
      </x:c>
      <x:c r="M15" s="52" t="str">
        <x:v>Approve procedure, name contacts, validate alerts, and complete tabletop exercise.</x:v>
      </x:c>
      <x:c r="N15" s="52" t="str">
        <x:v>Product Owner</x:v>
      </x:c>
      <x:c r="O15" s="71" t="n">
        <x:v>46270</x:v>
      </x:c>
      <x:c r="P15" s="71" t="str">
        <x:v>Open - validate</x:v>
      </x:c>
      <x:c r="Q15" s="71" t="n">
        <x:v>46257</x:v>
      </x:c>
      <x:c r="R15" s="52" t="str">
        <x:v>[signed policy / tabletop]</x:v>
      </x:c>
    </x:row>
    <x:row r="16">
      <x:c r="A16" s="52" t="str">
        <x:v>R-011</x:v>
      </x:c>
      <x:c r="B16" s="52" t="str">
        <x:v>Privacy governance</x:v>
      </x:c>
      <x:c r="C16" s="52" t="str">
        <x:v>Personal data is collected, used, shared, transferred, or retained without an accurate inventory, screening, or required DPIA.</x:v>
      </x:c>
      <x:c r="D16" s="69" t="n">
        <x:v>3</x:v>
      </x:c>
      <x:c r="E16" s="69" t="n">
        <x:v>4</x:v>
      </x:c>
      <x:c r="F16" s="69" t="n">
        <x:f>D16*E16</x:f>
        <x:v>12</x:v>
      </x:c>
      <x:c r="G16" s="52" t="str">
        <x:f>IF(F16&gt;=15,"Critical",IF(F16&gt;=10,"High",IF(F16&gt;=5,"Moderate","Low")))</x:f>
        <x:v>High</x:v>
      </x:c>
      <x:c r="H16" s="52" t="str">
        <x:v>New privacy/DPIA procedure and seeded screening register are ready for validation.</x:v>
      </x:c>
      <x:c r="I16" s="69" t="n">
        <x:v>2</x:v>
      </x:c>
      <x:c r="J16" s="69" t="n">
        <x:v>4</x:v>
      </x:c>
      <x:c r="K16" s="69" t="n">
        <x:f>I16*J16</x:f>
        <x:v>8</x:v>
      </x:c>
      <x:c r="L16" s="69" t="str">
        <x:f>IF(K16&gt;=15,"Critical",IF(K16&gt;=10,"High",IF(K16&gt;=5,"Moderate","Low")))</x:f>
        <x:v>Moderate</x:v>
      </x:c>
      <x:c r="M16" s="52" t="str">
        <x:v>Validate data map and seeded privacy records; complete screenings; schedule quarterly review.</x:v>
      </x:c>
      <x:c r="N16" s="52" t="str">
        <x:v>Product Owner</x:v>
      </x:c>
      <x:c r="O16" s="71" t="n">
        <x:v>46295</x:v>
      </x:c>
      <x:c r="P16" s="71" t="str">
        <x:v>Open - validate</x:v>
      </x:c>
      <x:c r="Q16" s="71" t="n">
        <x:v>46257</x:v>
      </x:c>
      <x:c r="R16" s="52" t="str">
        <x:v>[signed procedure / screenings]</x:v>
      </x:c>
    </x:row>
    <x:row r="17">
      <x:c r="A17" s="52" t="str">
        <x:v>R-012</x:v>
      </x:c>
      <x:c r="B17" s="52" t="str">
        <x:v>Business endpoints</x:v>
      </x:c>
      <x:c r="C17" s="52" t="str">
        <x:v>A lost, compromised, or unpatched endpoint exposes credentials, code, customer information, or administrative access.</x:v>
      </x:c>
      <x:c r="D17" s="69" t="n">
        <x:v>3</x:v>
      </x:c>
      <x:c r="E17" s="69" t="n">
        <x:v>4</x:v>
      </x:c>
      <x:c r="F17" s="69" t="n">
        <x:f>D17*E17</x:f>
        <x:v>12</x:v>
      </x:c>
      <x:c r="G17" s="52" t="str">
        <x:f>IF(F17&gt;=15,"Critical",IF(F17&gt;=10,"High",IF(F17&gt;=5,"Moderate","Low")))</x:f>
        <x:v>High</x:v>
      </x:c>
      <x:c r="H17" s="52" t="str">
        <x:v>Validate full-disk encryption, patching, screen lock, password manager, endpoint protection, backups, and remote revocation.</x:v>
      </x:c>
      <x:c r="I17" s="69" t="n">
        <x:v>2</x:v>
      </x:c>
      <x:c r="J17" s="69" t="n">
        <x:v>4</x:v>
      </x:c>
      <x:c r="K17" s="69" t="n">
        <x:f>I17*J17</x:f>
        <x:v>8</x:v>
      </x:c>
      <x:c r="L17" s="69" t="str">
        <x:f>IF(K17&gt;=15,"Critical",IF(K17&gt;=10,"High",IF(K17&gt;=5,"Moderate","Low")))</x:f>
        <x:v>Moderate</x:v>
      </x:c>
      <x:c r="M17" s="52" t="str">
        <x:v>Document endpoint baseline and verify every privileged endpoint against it.</x:v>
      </x:c>
      <x:c r="N17" s="52" t="str">
        <x:v>Product Owner / Personnel</x:v>
      </x:c>
      <x:c r="O17" s="71" t="n">
        <x:v>46310</x:v>
      </x:c>
      <x:c r="P17" s="71" t="str">
        <x:v>Open - validate</x:v>
      </x:c>
      <x:c r="Q17" s="71" t="n">
        <x:v>46257</x:v>
      </x:c>
      <x:c r="R17" s="52" t="str">
        <x:v>[endpoint checklist]</x:v>
      </x:c>
    </x:row>
  </x:sheetData>
  <x:mergeCells>
    <x:mergeCell ref="A1:R1"/>
    <x:mergeCell ref="A2:R2"/>
    <x:mergeCell ref="A4:R4"/>
  </x:mergeCells>
  <x:conditionalFormatting sqref="K6:K105">
    <x:cfRule type="colorScale" priority="1">
      <x:colorScale>
        <x:cfvo type="min"/>
        <x:cfvo type="percentile" val="50"/>
        <x:cfvo type="max"/>
        <x:color rgb="FFEAF5EE"/>
        <x:color rgb="FFFFF4CE"/>
        <x:color rgb="FFF4A3A3"/>
      </x:colorScale>
    </x:cfRule>
  </x:conditionalFormatting>
  <x:dataValidations count="3">
    <x:dataValidation type="list" sqref="D6:E105">
      <x:formula1>"1,2,3,4,5"</x:formula1>
    </x:dataValidation>
    <x:dataValidation type="list" sqref="I6:J105">
      <x:formula1>"1,2,3,4,5"</x:formula1>
    </x:dataValidation>
    <x:dataValidation type="list" sqref="P6:P105">
      <x:formula1>"Open - validate,Open,In progress,Accepted,Closed,Deferred"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d5a0d4b15754bf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34" hidden="0" customWidth="1"/>
    <x:col min="3" max="3" width="22" hidden="0" customWidth="1"/>
    <x:col min="4" max="4" width="38" hidden="0" customWidth="1"/>
    <x:col min="5" max="5" width="50" hidden="0" customWidth="1"/>
    <x:col min="6" max="6" width="42" hidden="0" customWidth="1"/>
    <x:col min="7" max="7" width="38" hidden="0" customWidth="1"/>
    <x:col min="8" max="8" width="36" hidden="0" customWidth="1"/>
    <x:col min="9" max="9" width="46" hidden="0" customWidth="1"/>
    <x:col min="10" max="10" width="52" hidden="0" customWidth="1"/>
    <x:col min="11" max="11" width="20" hidden="0" customWidth="1"/>
    <x:col min="12" max="12" width="13" hidden="0" customWidth="1"/>
    <x:col min="13" max="13" width="18" hidden="0" customWidth="1"/>
    <x:col min="14" max="14" width="32" hidden="0" customWidth="1"/>
  </x:cols>
  <x:sheetData>
    <x:row r="1" ht="34" customHeight="1">
      <x:c r="A1" s="3" t="str">
        <x:v>Privacy Screening Register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31" customHeight="1">
      <x:c r="A2" s="7" t="str">
        <x:v>Complete a screening before material personal-data changes. Unknown or incomplete evidence must remain Review required; it must not be converted to No.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5" ht="38" customHeight="1">
      <x:c r="A5" s="45" t="str">
        <x:v>ID</x:v>
      </x:c>
      <x:c r="B5" s="45" t="str">
        <x:v>Processing activity</x:v>
      </x:c>
      <x:c r="C5" s="45" t="str">
        <x:v>Owner</x:v>
      </x:c>
      <x:c r="D5" s="45" t="str">
        <x:v>Purpose</x:v>
      </x:c>
      <x:c r="E5" s="45" t="str">
        <x:v>Individuals / data categories</x:v>
      </x:c>
      <x:c r="F5" s="45" t="str">
        <x:v>Sources / recipients</x:v>
      </x:c>
      <x:c r="G5" s="45" t="str">
        <x:v>Role &amp; jurisdictions</x:v>
      </x:c>
      <x:c r="H5" s="45" t="str">
        <x:v>Retention / deletion</x:v>
      </x:c>
      <x:c r="I5" s="45" t="str">
        <x:v>DPIA trigger check</x:v>
      </x:c>
      <x:c r="J5" s="45" t="str">
        <x:v>Key privacy risks / actions</x:v>
      </x:c>
      <x:c r="K5" s="45" t="str">
        <x:v>Decision</x:v>
      </x:c>
      <x:c r="L5" s="45" t="str">
        <x:v>Review date</x:v>
      </x:c>
      <x:c r="M5" s="45" t="str">
        <x:v>Approval</x:v>
      </x:c>
      <x:c r="N5" s="45" t="str">
        <x:v>Evidence reference</x:v>
      </x:c>
    </x:row>
    <x:row r="6">
      <x:c r="A6" s="51" t="str">
        <x:v>P-001</x:v>
      </x:c>
      <x:c r="B6" s="51" t="str">
        <x:v>Public website scan request, evidence capture, and report generation</x:v>
      </x:c>
      <x:c r="C6" s="51" t="str">
        <x:v>Product Owner</x:v>
      </x:c>
      <x:c r="D6" s="51" t="str">
        <x:v>Analyze authorized public websites and present risk signals/reports.</x:v>
      </x:c>
      <x:c r="E6" s="51" t="str">
        <x:v>Target URL/domain; public-page content and evidence; scan/account/job metadata; incidental names or contact details may appear in public content.</x:v>
      </x:c>
      <x:c r="F6" s="51" t="str">
        <x:v>Customer/requester; target public site; WC01/WS01 systems; approved infrastructure/providers to validate.</x:v>
      </x:c>
      <x:c r="G6" s="51" t="str">
        <x:v>Controller/processor roles and affected jurisdictions require contract/data-flow validation.</x:v>
      </x:c>
      <x:c r="H6" s="51" t="str">
        <x:v>Validate artifact, screenshot, log, report, and deletion periods.</x:v>
      </x:c>
      <x:c r="I6" s="51" t="str">
        <x:v>Unknown pending scale, monitoring, matching, identifiability, and contract review.</x:v>
      </x:c>
      <x:c r="J6" s="51" t="str">
        <x:v>Unexpected personal data in public content; excessive evidence; access; transfer; retention. Validate typed/bounded evidence and deletion.</x:v>
      </x:c>
      <x:c r="K6" s="51" t="str">
        <x:v>Review required</x:v>
      </x:c>
      <x:c r="L6" s="70" t="n">
        <x:v>46295</x:v>
      </x:c>
      <x:c r="M6" s="51" t="str">
        <x:v>[Product Owner]</x:v>
      </x:c>
      <x:c r="N6" s="51" t="str">
        <x:v>[data map / architecture / contracts]</x:v>
      </x:c>
    </x:row>
    <x:row r="7">
      <x:c r="A7" s="52" t="str">
        <x:v>P-002</x:v>
      </x:c>
      <x:c r="B7" s="52" t="str">
        <x:v>User accounts, authentication, and administrative access</x:v>
      </x:c>
      <x:c r="C7" s="52" t="str">
        <x:v>Product / Engineering</x:v>
      </x:c>
      <x:c r="D7" s="52" t="str">
        <x:v>Provide access, security, account administration, and auditability.</x:v>
      </x:c>
      <x:c r="E7" s="52" t="str">
        <x:v>Account identifiers; contact details; authentication/session identifiers; access and security logs.</x:v>
      </x:c>
      <x:c r="F7" s="52" t="str">
        <x:v>Users; identity/auth provider; application and operational systems.</x:v>
      </x:c>
      <x:c r="G7" s="52" t="str">
        <x:v>Validate controller/processor roles, provider locations, and transfer basis.</x:v>
      </x:c>
      <x:c r="H7" s="52" t="str">
        <x:v>Validate account, session, security-log, and deletion periods.</x:v>
      </x:c>
      <x:c r="I7" s="52" t="str">
        <x:v>Likely no DPIA based on current description; validate automation, scale, vulnerable users, and consequences.</x:v>
      </x:c>
      <x:c r="J7" s="52" t="str">
        <x:v>Account takeover; excessive logs; dormant accounts; inaccurate permissions. Validate MFA, deletion, access review, and notice.</x:v>
      </x:c>
      <x:c r="K7" s="52" t="str">
        <x:v>Review required</x:v>
      </x:c>
      <x:c r="L7" s="71" t="n">
        <x:v>46295</x:v>
      </x:c>
      <x:c r="M7" s="52" t="str">
        <x:v>[Product Owner]</x:v>
      </x:c>
      <x:c r="N7" s="52" t="str">
        <x:v>[auth data flow / retention / provider terms]</x:v>
      </x:c>
    </x:row>
    <x:row r="8">
      <x:c r="A8" s="52" t="str">
        <x:v>P-003</x:v>
      </x:c>
      <x:c r="B8" s="52" t="str">
        <x:v>Application telemetry, security monitoring, and API activity</x:v>
      </x:c>
      <x:c r="C8" s="52" t="str">
        <x:v>Engineering / Operations</x:v>
      </x:c>
      <x:c r="D8" s="52" t="str">
        <x:v>Operate, secure, debug, rate-limit, and evidence system activity.</x:v>
      </x:c>
      <x:c r="E8" s="52" t="str">
        <x:v>IP/device/request metadata; timestamps; identifiers; diagnostic events; avoid raw URLs/secrets where unnecessary.</x:v>
      </x:c>
      <x:c r="F8" s="52" t="str">
        <x:v>Applications, infrastructure, users; monitoring/logging suppliers to validate.</x:v>
      </x:c>
      <x:c r="G8" s="52" t="str">
        <x:v>Validate role, regions, support access, and transfers.</x:v>
      </x:c>
      <x:c r="H8" s="52" t="str">
        <x:v>Validate hot-log, archive, backup, and deletion periods.</x:v>
      </x:c>
      <x:c r="I8" s="52" t="str">
        <x:v>Unknown pending monitoring scale, linkability, and data-field review.</x:v>
      </x:c>
      <x:c r="J8" s="52" t="str">
        <x:v>Overcollection; sensitive URLs/tokens; employee/user monitoring; broad access; long retention. Apply redaction and bounded fields.</x:v>
      </x:c>
      <x:c r="K8" s="52" t="str">
        <x:v>Review required</x:v>
      </x:c>
      <x:c r="L8" s="71" t="n">
        <x:v>46280</x:v>
      </x:c>
      <x:c r="M8" s="52" t="str">
        <x:v>[Privacy / Technical Lead]</x:v>
      </x:c>
      <x:c r="N8" s="52" t="str">
        <x:v>[logging schema / retention / access]</x:v>
      </x:c>
    </x:row>
    <x:row r="9">
      <x:c r="A9" s="52" t="str">
        <x:v>P-004</x:v>
      </x:c>
      <x:c r="B9" s="52" t="str">
        <x:v>Support, contact, and security reports</x:v>
      </x:c>
      <x:c r="C9" s="52" t="str">
        <x:v>Product Owner</x:v>
      </x:c>
      <x:c r="D9" s="52" t="str">
        <x:v>Answer requests, resolve issues, receive disclosures, and maintain business communications.</x:v>
      </x:c>
      <x:c r="E9" s="52" t="str">
        <x:v>Names, contact details, organization, message content, attachments, support/security context.</x:v>
      </x:c>
      <x:c r="F9" s="52" t="str">
        <x:v>Customers, prospects, reporters; communication/support providers to validate.</x:v>
      </x:c>
      <x:c r="G9" s="52" t="str">
        <x:v>Validate controller/processor role, provider location, and contract terms.</x:v>
      </x:c>
      <x:c r="H9" s="52" t="str">
        <x:v>Define ticket/message retention and secure deletion; preserve legal/security records only when needed.</x:v>
      </x:c>
      <x:c r="I9" s="52" t="str">
        <x:v>Likely no DPIA based on current description; reassess for sensitive/high-volume workflows.</x:v>
      </x:c>
      <x:c r="J9" s="52" t="str">
        <x:v>Sensitive attachments; misrouting; excessive retention; unauthorized staff access. Define intake warnings and restricted escalation.</x:v>
      </x:c>
      <x:c r="K9" s="52" t="str">
        <x:v>Review required</x:v>
      </x:c>
      <x:c r="L9" s="71" t="n">
        <x:v>46310</x:v>
      </x:c>
      <x:c r="M9" s="52" t="str">
        <x:v>[Product Owner]</x:v>
      </x:c>
      <x:c r="N9" s="52" t="str">
        <x:v>[support flow / retention / provider terms]</x:v>
      </x:c>
    </x:row>
    <x:row r="10">
      <x:c r="A10" s="52" t="str">
        <x:v>P-005</x:v>
      </x:c>
      <x:c r="B10" s="52" t="str">
        <x:v>Model-assisted internal policy extraction and review</x:v>
      </x:c>
      <x:c r="C10" s="52" t="str">
        <x:v>Product Owner</x:v>
      </x:c>
      <x:c r="D10" s="52" t="str">
        <x:v>Support bounded internal extraction/review of retained public policy evidence under configured model roles.</x:v>
      </x:c>
      <x:c r="E10" s="52" t="str">
        <x:v>Retained public policy text/excerpts; provenance; structured outputs; incidental names/contact details may occur.</x:v>
      </x:c>
      <x:c r="F10" s="52" t="str">
        <x:v>Canonical retained evidence; approved model/API provider if enabled; internal review artifacts.</x:v>
      </x:c>
      <x:c r="G10" s="52" t="str">
        <x:v>Validate processing role, provider region/retention/training terms, and transfers before use.</x:v>
      </x:c>
      <x:c r="H10" s="52" t="str">
        <x:v>Bounded inputs/outputs and cache/artifact retention require validation.</x:v>
      </x:c>
      <x:c r="I10" s="52" t="str">
        <x:v>Unknown pending provider, scale, matching, decision impact, and retained-data review.</x:v>
      </x:c>
      <x:c r="J10" s="52" t="str">
        <x:v>Provider retention/use; prompt leakage; unbounded text; unsupported inference; cost. Enforce schemas, provenance, minimization, and failed/unknown states.</x:v>
      </x:c>
      <x:c r="K10" s="52" t="str">
        <x:v>Review required</x:v>
      </x:c>
      <x:c r="L10" s="71" t="n">
        <x:v>46295</x:v>
      </x:c>
      <x:c r="M10" s="52" t="str">
        <x:v>[Product Owner]</x:v>
      </x:c>
      <x:c r="N10" s="52" t="str">
        <x:v>[model config / provider terms / data flow]</x:v>
      </x:c>
    </x:row>
    <x:row r="11">
      <x:c r="A11" s="52" t="str">
        <x:v>P-006</x:v>
      </x:c>
      <x:c r="B11" s="52" t="str">
        <x:v>Critical vendors, processors, and integrations</x:v>
      </x:c>
      <x:c r="C11" s="52" t="str">
        <x:v>Product Owner</x:v>
      </x:c>
      <x:c r="D11" s="52" t="str">
        <x:v>Provide infrastructure, identity, communications, monitoring, or other approved services.</x:v>
      </x:c>
      <x:c r="E11" s="52" t="str">
        <x:v>Depends on vendor; record exact categories and data subjects per supplier.</x:v>
      </x:c>
      <x:c r="F11" s="52" t="str">
        <x:v>CertScore and named supplier/subprocessors.</x:v>
      </x:c>
      <x:c r="G11" s="52" t="str">
        <x:v>Record controller/processor role, regions, subprocessors, transfer mechanism, and support access.</x:v>
      </x:c>
      <x:c r="H11" s="52" t="str">
        <x:v>Record contract and technical deletion/backup periods.</x:v>
      </x:c>
      <x:c r="I11" s="52" t="str">
        <x:v>Screen each material supplier and processing purpose; unknown until inventory is complete.</x:v>
      </x:c>
      <x:c r="J11" s="52" t="str">
        <x:v>Unapproved subprocessors; changed purpose/location; breach notice; lock-in; deletion gaps. Maintain vendor review and exit path.</x:v>
      </x:c>
      <x:c r="K11" s="52" t="str">
        <x:v>Review required</x:v>
      </x:c>
      <x:c r="L11" s="71" t="n">
        <x:v>46310</x:v>
      </x:c>
      <x:c r="M11" s="52" t="str">
        <x:v>[Product Owner]</x:v>
      </x:c>
      <x:c r="N11" s="52" t="str">
        <x:v>[vendor register / DPA / security review]</x:v>
      </x:c>
    </x:row>
  </x:sheetData>
  <x:mergeCells>
    <x:mergeCell ref="A1:N1"/>
    <x:mergeCell ref="A2:N2"/>
  </x:mergeCells>
  <x:conditionalFormatting sqref="K6:K105">
    <x:cfRule type="expression" dxfId="0" priority="1">
      <x:formula>$K6="DPIA required"</x:formula>
    </x:cfRule>
    <x:cfRule type="expression" dxfId="1" priority="2">
      <x:formula>$K6="Review required"</x:formula>
    </x:cfRule>
  </x:conditionalFormatting>
  <x:dataValidations count="1">
    <x:dataValidation type="list" sqref="K6:K105">
      <x:formula1>"No DPIA presently required,DPIA required,Review required,Closed / superseded"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927edefe7c5446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9" hidden="0" customWidth="1"/>
    <x:col min="3" max="3" width="20" hidden="0" customWidth="1"/>
    <x:col min="4" max="4" width="44" hidden="0" customWidth="1"/>
    <x:col min="5" max="5" width="18" hidden="0" customWidth="1"/>
    <x:col min="6" max="6" width="21" hidden="0" customWidth="1"/>
    <x:col min="7" max="7" width="42" hidden="0" customWidth="1"/>
    <x:col min="8" max="8" width="42" hidden="0" customWidth="1"/>
    <x:col min="9" max="9" width="14" hidden="0" customWidth="1"/>
    <x:col min="10" max="10" width="19" hidden="0" customWidth="1"/>
    <x:col min="11" max="11" width="15" hidden="0" customWidth="1"/>
    <x:col min="12" max="12" width="30" hidden="0" customWidth="1"/>
    <x:col min="13" max="13" width="32" hidden="0" customWidth="1"/>
    <x:col min="14" max="14" width="24" hidden="0" customWidth="1"/>
  </x:cols>
  <x:sheetData>
    <x:row r="1" ht="34" customHeight="1">
      <x:c r="A1" s="3" t="str">
        <x:v>Security Incident Log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31" customHeight="1">
      <x:c r="A2" s="7" t="str">
        <x:v>Create one row for every reported event. Use a restricted evidence reference instead of copying secrets or unnecessary personal data into this log.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5">
      <x:c r="A5" s="45" t="str">
        <x:v>Incident ID</x:v>
      </x:c>
      <x:c r="B5" s="45" t="str">
        <x:v>Reported UTC</x:v>
      </x:c>
      <x:c r="C5" s="45" t="str">
        <x:v>Reporter</x:v>
      </x:c>
      <x:c r="D5" s="45" t="str">
        <x:v>Summary</x:v>
      </x:c>
      <x:c r="E5" s="45" t="str">
        <x:v>Severity</x:v>
      </x:c>
      <x:c r="F5" s="45" t="str">
        <x:v>Incident Lead</x:v>
      </x:c>
      <x:c r="G5" s="45" t="str">
        <x:v>Systems / data</x:v>
      </x:c>
      <x:c r="H5" s="45" t="str">
        <x:v>Containment</x:v>
      </x:c>
      <x:c r="I5" s="45" t="str">
        <x:v>Status</x:v>
      </x:c>
      <x:c r="J5" s="45" t="str">
        <x:v>Recovery UTC</x:v>
      </x:c>
      <x:c r="K5" s="45" t="str">
        <x:v>Lessons review</x:v>
      </x:c>
      <x:c r="L5" s="45" t="str">
        <x:v>Risk updates</x:v>
      </x:c>
      <x:c r="M5" s="45" t="str">
        <x:v>Evidence reference</x:v>
      </x:c>
      <x:c r="N5" s="45" t="str">
        <x:v>Closure approval</x:v>
      </x:c>
    </x:row>
    <x:row r="6">
      <x:c r="A6" s="51"/>
      <x:c r="B6" s="72"/>
      <x:c r="C6" s="51"/>
      <x:c r="D6" s="51"/>
      <x:c r="E6" s="51"/>
      <x:c r="F6" s="51"/>
      <x:c r="G6" s="51"/>
      <x:c r="H6" s="51"/>
      <x:c r="I6" s="51"/>
      <x:c r="J6" s="72"/>
      <x:c r="K6" s="70"/>
      <x:c r="L6" s="51"/>
      <x:c r="M6" s="51"/>
      <x:c r="N6" s="51"/>
    </x:row>
    <x:row r="7">
      <x:c r="A7" s="52"/>
      <x:c r="B7" s="73"/>
      <x:c r="C7" s="52"/>
      <x:c r="D7" s="52"/>
      <x:c r="E7" s="52"/>
      <x:c r="F7" s="52"/>
      <x:c r="G7" s="52"/>
      <x:c r="H7" s="52"/>
      <x:c r="I7" s="52"/>
      <x:c r="J7" s="73"/>
      <x:c r="K7" s="71"/>
      <x:c r="L7" s="52"/>
      <x:c r="M7" s="52"/>
      <x:c r="N7" s="52"/>
    </x:row>
    <x:row r="8">
      <x:c r="A8" s="52"/>
      <x:c r="B8" s="73"/>
      <x:c r="C8" s="52"/>
      <x:c r="D8" s="52"/>
      <x:c r="E8" s="52"/>
      <x:c r="F8" s="52"/>
      <x:c r="G8" s="52"/>
      <x:c r="H8" s="52"/>
      <x:c r="I8" s="52"/>
      <x:c r="J8" s="73"/>
      <x:c r="K8" s="71"/>
      <x:c r="L8" s="52"/>
      <x:c r="M8" s="52"/>
      <x:c r="N8" s="52"/>
    </x:row>
    <x:row r="9">
      <x:c r="A9" s="52"/>
      <x:c r="B9" s="73"/>
      <x:c r="C9" s="52"/>
      <x:c r="D9" s="52"/>
      <x:c r="E9" s="52"/>
      <x:c r="F9" s="52"/>
      <x:c r="G9" s="52"/>
      <x:c r="H9" s="52"/>
      <x:c r="I9" s="52"/>
      <x:c r="J9" s="73"/>
      <x:c r="K9" s="71"/>
      <x:c r="L9" s="52"/>
      <x:c r="M9" s="52"/>
      <x:c r="N9" s="52"/>
    </x:row>
    <x:row r="10">
      <x:c r="A10" s="52"/>
      <x:c r="B10" s="73"/>
      <x:c r="C10" s="52"/>
      <x:c r="D10" s="52"/>
      <x:c r="E10" s="52"/>
      <x:c r="F10" s="52"/>
      <x:c r="G10" s="52"/>
      <x:c r="H10" s="52"/>
      <x:c r="I10" s="52"/>
      <x:c r="J10" s="73"/>
      <x:c r="K10" s="71"/>
      <x:c r="L10" s="52"/>
      <x:c r="M10" s="52"/>
      <x:c r="N10" s="52"/>
    </x:row>
    <x:row r="11">
      <x:c r="B11" s="74"/>
      <x:c r="J11" s="74"/>
      <x:c r="K11" s="75"/>
    </x:row>
    <x:row r="12">
      <x:c r="B12" s="74"/>
      <x:c r="J12" s="74"/>
      <x:c r="K12" s="75"/>
    </x:row>
    <x:row r="13">
      <x:c r="B13" s="74"/>
      <x:c r="J13" s="74"/>
      <x:c r="K13" s="75"/>
    </x:row>
    <x:row r="14">
      <x:c r="B14" s="74"/>
      <x:c r="J14" s="74"/>
      <x:c r="K14" s="75"/>
    </x:row>
    <x:row r="15">
      <x:c r="B15" s="74"/>
      <x:c r="J15" s="74"/>
      <x:c r="K15" s="75"/>
    </x:row>
    <x:row r="16">
      <x:c r="B16" s="74"/>
      <x:c r="J16" s="74"/>
      <x:c r="K16" s="75"/>
    </x:row>
    <x:row r="17">
      <x:c r="B17" s="74"/>
      <x:c r="J17" s="74"/>
      <x:c r="K17" s="75"/>
    </x:row>
    <x:row r="18">
      <x:c r="B18" s="74"/>
      <x:c r="J18" s="74"/>
      <x:c r="K18" s="75"/>
    </x:row>
    <x:row r="19">
      <x:c r="B19" s="74"/>
      <x:c r="J19" s="74"/>
      <x:c r="K19" s="75"/>
    </x:row>
    <x:row r="20">
      <x:c r="B20" s="74"/>
      <x:c r="J20" s="74"/>
      <x:c r="K20" s="75"/>
    </x:row>
    <x:row r="21">
      <x:c r="B21" s="74"/>
      <x:c r="J21" s="74"/>
      <x:c r="K21" s="75"/>
    </x:row>
    <x:row r="22">
      <x:c r="B22" s="74"/>
      <x:c r="J22" s="74"/>
      <x:c r="K22" s="75"/>
    </x:row>
    <x:row r="23">
      <x:c r="B23" s="74"/>
      <x:c r="J23" s="74"/>
      <x:c r="K23" s="75"/>
    </x:row>
    <x:row r="24">
      <x:c r="B24" s="74"/>
      <x:c r="J24" s="74"/>
      <x:c r="K24" s="75"/>
    </x:row>
    <x:row r="25">
      <x:c r="B25" s="74"/>
      <x:c r="J25" s="74"/>
      <x:c r="K25" s="75"/>
    </x:row>
    <x:row r="26">
      <x:c r="B26" s="74"/>
      <x:c r="J26" s="74"/>
      <x:c r="K26" s="75"/>
    </x:row>
    <x:row r="27">
      <x:c r="B27" s="74"/>
      <x:c r="J27" s="74"/>
      <x:c r="K27" s="75"/>
    </x:row>
    <x:row r="28">
      <x:c r="B28" s="74"/>
      <x:c r="J28" s="74"/>
      <x:c r="K28" s="75"/>
    </x:row>
    <x:row r="29">
      <x:c r="B29" s="74"/>
      <x:c r="J29" s="74"/>
      <x:c r="K29" s="75"/>
    </x:row>
    <x:row r="30">
      <x:c r="B30" s="74"/>
      <x:c r="J30" s="74"/>
      <x:c r="K30" s="75"/>
    </x:row>
    <x:row r="31">
      <x:c r="B31" s="74"/>
      <x:c r="J31" s="74"/>
      <x:c r="K31" s="75"/>
    </x:row>
    <x:row r="32">
      <x:c r="B32" s="74"/>
      <x:c r="J32" s="74"/>
      <x:c r="K32" s="75"/>
    </x:row>
    <x:row r="33">
      <x:c r="B33" s="74"/>
      <x:c r="J33" s="74"/>
      <x:c r="K33" s="75"/>
    </x:row>
    <x:row r="34">
      <x:c r="B34" s="74"/>
      <x:c r="J34" s="74"/>
      <x:c r="K34" s="75"/>
    </x:row>
    <x:row r="35">
      <x:c r="B35" s="74"/>
      <x:c r="J35" s="74"/>
      <x:c r="K35" s="75"/>
    </x:row>
    <x:row r="36">
      <x:c r="B36" s="74"/>
      <x:c r="J36" s="74"/>
      <x:c r="K36" s="75"/>
    </x:row>
    <x:row r="37">
      <x:c r="B37" s="74"/>
      <x:c r="J37" s="74"/>
      <x:c r="K37" s="75"/>
    </x:row>
    <x:row r="38">
      <x:c r="B38" s="74"/>
      <x:c r="J38" s="74"/>
      <x:c r="K38" s="75"/>
    </x:row>
    <x:row r="39">
      <x:c r="B39" s="74"/>
      <x:c r="J39" s="74"/>
      <x:c r="K39" s="75"/>
    </x:row>
    <x:row r="40">
      <x:c r="B40" s="74"/>
      <x:c r="J40" s="74"/>
      <x:c r="K40" s="75"/>
    </x:row>
    <x:row r="41">
      <x:c r="B41" s="74"/>
      <x:c r="J41" s="74"/>
      <x:c r="K41" s="75"/>
    </x:row>
    <x:row r="42">
      <x:c r="B42" s="74"/>
      <x:c r="J42" s="74"/>
      <x:c r="K42" s="75"/>
    </x:row>
    <x:row r="43">
      <x:c r="B43" s="74"/>
      <x:c r="J43" s="74"/>
      <x:c r="K43" s="75"/>
    </x:row>
    <x:row r="44">
      <x:c r="B44" s="74"/>
      <x:c r="J44" s="74"/>
      <x:c r="K44" s="75"/>
    </x:row>
    <x:row r="45">
      <x:c r="B45" s="74"/>
      <x:c r="J45" s="74"/>
      <x:c r="K45" s="75"/>
    </x:row>
    <x:row r="46">
      <x:c r="B46" s="74"/>
      <x:c r="J46" s="74"/>
      <x:c r="K46" s="75"/>
    </x:row>
    <x:row r="47">
      <x:c r="B47" s="74"/>
      <x:c r="J47" s="74"/>
      <x:c r="K47" s="75"/>
    </x:row>
    <x:row r="48">
      <x:c r="B48" s="74"/>
      <x:c r="J48" s="74"/>
      <x:c r="K48" s="75"/>
    </x:row>
    <x:row r="49">
      <x:c r="B49" s="74"/>
      <x:c r="J49" s="74"/>
      <x:c r="K49" s="75"/>
    </x:row>
    <x:row r="50">
      <x:c r="B50" s="74"/>
      <x:c r="J50" s="74"/>
      <x:c r="K50" s="75"/>
    </x:row>
    <x:row r="51">
      <x:c r="B51" s="74"/>
      <x:c r="J51" s="74"/>
      <x:c r="K51" s="75"/>
    </x:row>
    <x:row r="52">
      <x:c r="B52" s="74"/>
      <x:c r="J52" s="74"/>
      <x:c r="K52" s="75"/>
    </x:row>
    <x:row r="53">
      <x:c r="B53" s="74"/>
      <x:c r="J53" s="74"/>
      <x:c r="K53" s="75"/>
    </x:row>
    <x:row r="54">
      <x:c r="B54" s="74"/>
      <x:c r="J54" s="74"/>
      <x:c r="K54" s="75"/>
    </x:row>
    <x:row r="55">
      <x:c r="B55" s="74"/>
      <x:c r="J55" s="74"/>
      <x:c r="K55" s="75"/>
    </x:row>
    <x:row r="56">
      <x:c r="B56" s="74"/>
      <x:c r="J56" s="74"/>
      <x:c r="K56" s="75"/>
    </x:row>
    <x:row r="57">
      <x:c r="B57" s="74"/>
      <x:c r="J57" s="74"/>
      <x:c r="K57" s="75"/>
    </x:row>
    <x:row r="58">
      <x:c r="B58" s="74"/>
      <x:c r="J58" s="74"/>
      <x:c r="K58" s="75"/>
    </x:row>
    <x:row r="59">
      <x:c r="B59" s="74"/>
      <x:c r="J59" s="74"/>
      <x:c r="K59" s="75"/>
    </x:row>
    <x:row r="60">
      <x:c r="B60" s="74"/>
      <x:c r="J60" s="74"/>
      <x:c r="K60" s="75"/>
    </x:row>
    <x:row r="61">
      <x:c r="B61" s="74"/>
      <x:c r="J61" s="74"/>
      <x:c r="K61" s="75"/>
    </x:row>
    <x:row r="62">
      <x:c r="B62" s="74"/>
      <x:c r="J62" s="74"/>
      <x:c r="K62" s="75"/>
    </x:row>
    <x:row r="63">
      <x:c r="B63" s="74"/>
      <x:c r="J63" s="74"/>
      <x:c r="K63" s="75"/>
    </x:row>
    <x:row r="64">
      <x:c r="B64" s="74"/>
      <x:c r="J64" s="74"/>
      <x:c r="K64" s="75"/>
    </x:row>
    <x:row r="65">
      <x:c r="B65" s="74"/>
      <x:c r="J65" s="74"/>
      <x:c r="K65" s="75"/>
    </x:row>
    <x:row r="66">
      <x:c r="B66" s="74"/>
      <x:c r="J66" s="74"/>
      <x:c r="K66" s="75"/>
    </x:row>
    <x:row r="67">
      <x:c r="B67" s="74"/>
      <x:c r="J67" s="74"/>
      <x:c r="K67" s="75"/>
    </x:row>
    <x:row r="68">
      <x:c r="B68" s="74"/>
      <x:c r="J68" s="74"/>
      <x:c r="K68" s="75"/>
    </x:row>
    <x:row r="69">
      <x:c r="B69" s="74"/>
      <x:c r="J69" s="74"/>
      <x:c r="K69" s="75"/>
    </x:row>
    <x:row r="70">
      <x:c r="B70" s="74"/>
      <x:c r="J70" s="74"/>
      <x:c r="K70" s="75"/>
    </x:row>
    <x:row r="71">
      <x:c r="B71" s="74"/>
      <x:c r="J71" s="74"/>
      <x:c r="K71" s="75"/>
    </x:row>
    <x:row r="72">
      <x:c r="B72" s="74"/>
      <x:c r="J72" s="74"/>
      <x:c r="K72" s="75"/>
    </x:row>
    <x:row r="73">
      <x:c r="B73" s="74"/>
      <x:c r="J73" s="74"/>
      <x:c r="K73" s="75"/>
    </x:row>
    <x:row r="74">
      <x:c r="B74" s="74"/>
      <x:c r="J74" s="74"/>
      <x:c r="K74" s="75"/>
    </x:row>
    <x:row r="75">
      <x:c r="B75" s="74"/>
      <x:c r="J75" s="74"/>
      <x:c r="K75" s="75"/>
    </x:row>
    <x:row r="76">
      <x:c r="B76" s="74"/>
      <x:c r="J76" s="74"/>
      <x:c r="K76" s="75"/>
    </x:row>
    <x:row r="77">
      <x:c r="B77" s="74"/>
      <x:c r="J77" s="74"/>
      <x:c r="K77" s="75"/>
    </x:row>
    <x:row r="78">
      <x:c r="B78" s="74"/>
      <x:c r="J78" s="74"/>
      <x:c r="K78" s="75"/>
    </x:row>
    <x:row r="79">
      <x:c r="B79" s="74"/>
      <x:c r="J79" s="74"/>
      <x:c r="K79" s="75"/>
    </x:row>
    <x:row r="80">
      <x:c r="B80" s="74"/>
      <x:c r="J80" s="74"/>
      <x:c r="K80" s="75"/>
    </x:row>
    <x:row r="81">
      <x:c r="B81" s="74"/>
      <x:c r="J81" s="74"/>
      <x:c r="K81" s="75"/>
    </x:row>
    <x:row r="82">
      <x:c r="B82" s="74"/>
      <x:c r="J82" s="74"/>
      <x:c r="K82" s="75"/>
    </x:row>
    <x:row r="83">
      <x:c r="B83" s="74"/>
      <x:c r="J83" s="74"/>
      <x:c r="K83" s="75"/>
    </x:row>
    <x:row r="84">
      <x:c r="B84" s="74"/>
      <x:c r="J84" s="74"/>
      <x:c r="K84" s="75"/>
    </x:row>
    <x:row r="85">
      <x:c r="B85" s="74"/>
      <x:c r="J85" s="74"/>
      <x:c r="K85" s="75"/>
    </x:row>
    <x:row r="86">
      <x:c r="B86" s="74"/>
      <x:c r="J86" s="74"/>
      <x:c r="K86" s="75"/>
    </x:row>
    <x:row r="87">
      <x:c r="B87" s="74"/>
      <x:c r="J87" s="74"/>
      <x:c r="K87" s="75"/>
    </x:row>
    <x:row r="88">
      <x:c r="B88" s="74"/>
      <x:c r="J88" s="74"/>
      <x:c r="K88" s="75"/>
    </x:row>
    <x:row r="89">
      <x:c r="B89" s="74"/>
      <x:c r="J89" s="74"/>
      <x:c r="K89" s="75"/>
    </x:row>
    <x:row r="90">
      <x:c r="B90" s="74"/>
      <x:c r="J90" s="74"/>
      <x:c r="K90" s="75"/>
    </x:row>
    <x:row r="91">
      <x:c r="B91" s="74"/>
      <x:c r="J91" s="74"/>
      <x:c r="K91" s="75"/>
    </x:row>
    <x:row r="92">
      <x:c r="B92" s="74"/>
      <x:c r="J92" s="74"/>
      <x:c r="K92" s="75"/>
    </x:row>
    <x:row r="93">
      <x:c r="B93" s="74"/>
      <x:c r="J93" s="74"/>
      <x:c r="K93" s="75"/>
    </x:row>
    <x:row r="94">
      <x:c r="B94" s="74"/>
      <x:c r="J94" s="74"/>
      <x:c r="K94" s="75"/>
    </x:row>
    <x:row r="95">
      <x:c r="B95" s="74"/>
      <x:c r="J95" s="74"/>
      <x:c r="K95" s="75"/>
    </x:row>
    <x:row r="96">
      <x:c r="B96" s="74"/>
      <x:c r="J96" s="74"/>
      <x:c r="K96" s="75"/>
    </x:row>
    <x:row r="97">
      <x:c r="B97" s="74"/>
      <x:c r="J97" s="74"/>
      <x:c r="K97" s="75"/>
    </x:row>
    <x:row r="98">
      <x:c r="B98" s="74"/>
      <x:c r="J98" s="74"/>
      <x:c r="K98" s="75"/>
    </x:row>
    <x:row r="99">
      <x:c r="B99" s="74"/>
      <x:c r="J99" s="74"/>
      <x:c r="K99" s="75"/>
    </x:row>
    <x:row r="100">
      <x:c r="B100" s="74"/>
      <x:c r="J100" s="74"/>
      <x:c r="K100" s="75"/>
    </x:row>
    <x:row r="101">
      <x:c r="B101" s="74"/>
      <x:c r="J101" s="74"/>
      <x:c r="K101" s="75"/>
    </x:row>
    <x:row r="102">
      <x:c r="B102" s="74"/>
      <x:c r="J102" s="74"/>
      <x:c r="K102" s="75"/>
    </x:row>
    <x:row r="103">
      <x:c r="B103" s="74"/>
      <x:c r="J103" s="74"/>
      <x:c r="K103" s="75"/>
    </x:row>
    <x:row r="104">
      <x:c r="B104" s="74"/>
      <x:c r="J104" s="74"/>
      <x:c r="K104" s="75"/>
    </x:row>
    <x:row r="105">
      <x:c r="B105" s="74"/>
      <x:c r="J105" s="74"/>
      <x:c r="K105" s="75"/>
    </x:row>
  </x:sheetData>
  <x:mergeCells>
    <x:mergeCell ref="A1:N1"/>
    <x:mergeCell ref="A2:N2"/>
  </x:mergeCells>
  <x:dataValidations count="2">
    <x:dataValidation type="list" sqref="E6:E105">
      <x:formula1>"SEV-1 Critical,SEV-2 High,SEV-3 Moderate,SEV-4 Low"</x:formula1>
    </x:dataValidation>
    <x:dataValidation type="list" sqref="I6:I105">
      <x:formula1>"Open,Contained,Monitoring,Recovered,Closed"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19" hidden="0" customWidth="1"/>
    <x:col min="4" max="4" width="20" hidden="0" customWidth="1"/>
    <x:col min="5" max="5" width="34" hidden="0" customWidth="1"/>
    <x:col min="6" max="6" width="46" hidden="0" customWidth="1"/>
    <x:col min="7" max="7" width="44" hidden="0" customWidth="1"/>
    <x:col min="8" max="8" width="18" hidden="0" customWidth="1"/>
    <x:col min="9" max="9" width="19" hidden="0" customWidth="1"/>
    <x:col min="10" max="10" width="19" hidden="0" customWidth="1"/>
    <x:col min="11" max="11" width="21" hidden="0" customWidth="1"/>
    <x:col min="12" max="12" width="28" hidden="0" customWidth="1"/>
    <x:col min="13" max="13" width="19" hidden="0" customWidth="1"/>
    <x:col min="14" max="14" width="45" hidden="0" customWidth="1"/>
    <x:col min="15" max="15" width="45" hidden="0" customWidth="1"/>
    <x:col min="16" max="16" width="16" hidden="0" customWidth="1"/>
    <x:col min="17" max="17" width="30" hidden="0" customWidth="1"/>
  </x:cols>
  <x:sheetData>
    <x:row r="1" ht="34" customHeight="1">
      <x:c r="A1" s="3" t="str">
        <x:v>Personal Data Breach Decision Log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 ht="31" customHeight="1">
      <x:c r="A2" s="7" t="str">
        <x:v>Record every personal-data breach and the notification decision. The 72-hour deadline applies only when the applicable legal threshold is met; processor notices may have different timing.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</x:row>
    <x:row r="5">
      <x:c r="A5" s="45" t="str">
        <x:v>Breach ID</x:v>
      </x:c>
      <x:c r="B5" s="45" t="str">
        <x:v>Incident ID</x:v>
      </x:c>
      <x:c r="C5" s="45" t="str">
        <x:v>Awareness UTC</x:v>
      </x:c>
      <x:c r="D5" s="45" t="str">
        <x:v>Controller / processor</x:v>
      </x:c>
      <x:c r="E5" s="45" t="str">
        <x:v>Jurisdictions / authority</x:v>
      </x:c>
      <x:c r="F5" s="45" t="str">
        <x:v>Data and individuals</x:v>
      </x:c>
      <x:c r="G5" s="45" t="str">
        <x:v>Risk to individuals</x:v>
      </x:c>
      <x:c r="H5" s="45" t="str">
        <x:v>Authority decision</x:v>
      </x:c>
      <x:c r="I5" s="45" t="str">
        <x:v>Authority deadline</x:v>
      </x:c>
      <x:c r="J5" s="45" t="str">
        <x:v>Submitted UTC</x:v>
      </x:c>
      <x:c r="K5" s="45" t="str">
        <x:v>Individuals decision</x:v>
      </x:c>
      <x:c r="L5" s="45" t="str">
        <x:v>Controller / contract notice</x:v>
      </x:c>
      <x:c r="M5" s="45" t="str">
        <x:v>Decision approver</x:v>
      </x:c>
      <x:c r="N5" s="45" t="str">
        <x:v>Rationale</x:v>
      </x:c>
      <x:c r="O5" s="45" t="str">
        <x:v>Follow-up</x:v>
      </x:c>
      <x:c r="P5" s="45" t="str">
        <x:v>Status</x:v>
      </x:c>
      <x:c r="Q5" s="45" t="str">
        <x:v>Evidence reference</x:v>
      </x:c>
    </x:row>
    <x:row r="6">
      <x:c r="A6" s="51"/>
      <x:c r="B6" s="51"/>
      <x:c r="C6" s="72"/>
      <x:c r="D6" s="51"/>
      <x:c r="E6" s="51"/>
      <x:c r="F6" s="51"/>
      <x:c r="G6" s="51"/>
      <x:c r="H6" s="51"/>
      <x:c r="I6" s="72" t="str">
        <x:f>IF(C6="","",C6+3)</x:f>
      </x:c>
      <x:c r="J6" s="72"/>
      <x:c r="K6" s="51"/>
      <x:c r="L6" s="51"/>
      <x:c r="M6" s="51"/>
      <x:c r="N6" s="51"/>
      <x:c r="O6" s="51"/>
      <x:c r="P6" s="51"/>
      <x:c r="Q6" s="51"/>
    </x:row>
    <x:row r="7">
      <x:c r="A7" s="52"/>
      <x:c r="B7" s="52"/>
      <x:c r="C7" s="73"/>
      <x:c r="D7" s="52"/>
      <x:c r="E7" s="52"/>
      <x:c r="F7" s="52"/>
      <x:c r="G7" s="52"/>
      <x:c r="H7" s="52"/>
      <x:c r="I7" s="73" t="str">
        <x:f>IF(C7="","",C7+3)</x:f>
      </x:c>
      <x:c r="J7" s="73"/>
      <x:c r="K7" s="52"/>
      <x:c r="L7" s="52"/>
      <x:c r="M7" s="52"/>
      <x:c r="N7" s="52"/>
      <x:c r="O7" s="52"/>
      <x:c r="P7" s="52"/>
      <x:c r="Q7" s="52"/>
    </x:row>
    <x:row r="8">
      <x:c r="A8" s="52"/>
      <x:c r="B8" s="52"/>
      <x:c r="C8" s="73"/>
      <x:c r="D8" s="52"/>
      <x:c r="E8" s="52"/>
      <x:c r="F8" s="52"/>
      <x:c r="G8" s="52"/>
      <x:c r="H8" s="52"/>
      <x:c r="I8" s="73" t="str">
        <x:f>IF(C8="","",C8+3)</x:f>
      </x:c>
      <x:c r="J8" s="73"/>
      <x:c r="K8" s="52"/>
      <x:c r="L8" s="52"/>
      <x:c r="M8" s="52"/>
      <x:c r="N8" s="52"/>
      <x:c r="O8" s="52"/>
      <x:c r="P8" s="52"/>
      <x:c r="Q8" s="52"/>
    </x:row>
    <x:row r="9">
      <x:c r="A9" s="52"/>
      <x:c r="B9" s="52"/>
      <x:c r="C9" s="73"/>
      <x:c r="D9" s="52"/>
      <x:c r="E9" s="52"/>
      <x:c r="F9" s="52"/>
      <x:c r="G9" s="52"/>
      <x:c r="H9" s="52"/>
      <x:c r="I9" s="73" t="str">
        <x:f>IF(C9="","",C9+3)</x:f>
      </x:c>
      <x:c r="J9" s="73"/>
      <x:c r="K9" s="52"/>
      <x:c r="L9" s="52"/>
      <x:c r="M9" s="52"/>
      <x:c r="N9" s="52"/>
      <x:c r="O9" s="52"/>
      <x:c r="P9" s="52"/>
      <x:c r="Q9" s="52"/>
    </x:row>
    <x:row r="10">
      <x:c r="A10" s="52"/>
      <x:c r="B10" s="52"/>
      <x:c r="C10" s="73"/>
      <x:c r="D10" s="52"/>
      <x:c r="E10" s="52"/>
      <x:c r="F10" s="52"/>
      <x:c r="G10" s="52"/>
      <x:c r="H10" s="52"/>
      <x:c r="I10" s="73" t="str">
        <x:f>IF(C10="","",C10+3)</x:f>
      </x:c>
      <x:c r="J10" s="73"/>
      <x:c r="K10" s="52"/>
      <x:c r="L10" s="52"/>
      <x:c r="M10" s="52"/>
      <x:c r="N10" s="52"/>
      <x:c r="O10" s="52"/>
      <x:c r="P10" s="52"/>
      <x:c r="Q10" s="52"/>
    </x:row>
    <x:row r="11">
      <x:c r="C11" s="74"/>
      <x:c r="I11" s="74" t="str">
        <x:f>IF(C11="","",C11+3)</x:f>
      </x:c>
      <x:c r="J11" s="74"/>
    </x:row>
    <x:row r="12">
      <x:c r="C12" s="74"/>
      <x:c r="I12" s="74" t="str">
        <x:f>IF(C12="","",C12+3)</x:f>
      </x:c>
      <x:c r="J12" s="74"/>
    </x:row>
    <x:row r="13">
      <x:c r="C13" s="74"/>
      <x:c r="I13" s="74" t="str">
        <x:f>IF(C13="","",C13+3)</x:f>
      </x:c>
      <x:c r="J13" s="74"/>
    </x:row>
    <x:row r="14">
      <x:c r="C14" s="74"/>
      <x:c r="I14" s="74" t="str">
        <x:f>IF(C14="","",C14+3)</x:f>
      </x:c>
      <x:c r="J14" s="74"/>
    </x:row>
    <x:row r="15">
      <x:c r="C15" s="74"/>
      <x:c r="I15" s="74" t="str">
        <x:f>IF(C15="","",C15+3)</x:f>
      </x:c>
      <x:c r="J15" s="74"/>
    </x:row>
    <x:row r="16">
      <x:c r="C16" s="74"/>
      <x:c r="I16" s="74" t="str">
        <x:f>IF(C16="","",C16+3)</x:f>
      </x:c>
      <x:c r="J16" s="74"/>
    </x:row>
    <x:row r="17">
      <x:c r="C17" s="74"/>
      <x:c r="I17" s="74" t="str">
        <x:f>IF(C17="","",C17+3)</x:f>
      </x:c>
      <x:c r="J17" s="74"/>
    </x:row>
    <x:row r="18">
      <x:c r="C18" s="74"/>
      <x:c r="I18" s="74" t="str">
        <x:f>IF(C18="","",C18+3)</x:f>
      </x:c>
      <x:c r="J18" s="74"/>
    </x:row>
    <x:row r="19">
      <x:c r="C19" s="74"/>
      <x:c r="I19" s="74" t="str">
        <x:f>IF(C19="","",C19+3)</x:f>
      </x:c>
      <x:c r="J19" s="74"/>
    </x:row>
    <x:row r="20">
      <x:c r="C20" s="74"/>
      <x:c r="I20" s="74" t="str">
        <x:f>IF(C20="","",C20+3)</x:f>
      </x:c>
      <x:c r="J20" s="74"/>
    </x:row>
    <x:row r="21">
      <x:c r="C21" s="74"/>
      <x:c r="I21" s="74" t="str">
        <x:f>IF(C21="","",C21+3)</x:f>
      </x:c>
      <x:c r="J21" s="74"/>
    </x:row>
    <x:row r="22">
      <x:c r="C22" s="74"/>
      <x:c r="I22" s="74" t="str">
        <x:f>IF(C22="","",C22+3)</x:f>
      </x:c>
      <x:c r="J22" s="74"/>
    </x:row>
    <x:row r="23">
      <x:c r="C23" s="74"/>
      <x:c r="I23" s="74" t="str">
        <x:f>IF(C23="","",C23+3)</x:f>
      </x:c>
      <x:c r="J23" s="74"/>
    </x:row>
    <x:row r="24">
      <x:c r="C24" s="74"/>
      <x:c r="I24" s="74" t="str">
        <x:f>IF(C24="","",C24+3)</x:f>
      </x:c>
      <x:c r="J24" s="74"/>
    </x:row>
    <x:row r="25">
      <x:c r="C25" s="74"/>
      <x:c r="I25" s="74" t="str">
        <x:f>IF(C25="","",C25+3)</x:f>
      </x:c>
      <x:c r="J25" s="74"/>
    </x:row>
    <x:row r="26">
      <x:c r="C26" s="74"/>
      <x:c r="I26" s="74" t="str">
        <x:f>IF(C26="","",C26+3)</x:f>
      </x:c>
      <x:c r="J26" s="74"/>
    </x:row>
    <x:row r="27">
      <x:c r="C27" s="74"/>
      <x:c r="I27" s="74" t="str">
        <x:f>IF(C27="","",C27+3)</x:f>
      </x:c>
      <x:c r="J27" s="74"/>
    </x:row>
    <x:row r="28">
      <x:c r="C28" s="74"/>
      <x:c r="I28" s="74" t="str">
        <x:f>IF(C28="","",C28+3)</x:f>
      </x:c>
      <x:c r="J28" s="74"/>
    </x:row>
    <x:row r="29">
      <x:c r="C29" s="74"/>
      <x:c r="I29" s="74" t="str">
        <x:f>IF(C29="","",C29+3)</x:f>
      </x:c>
      <x:c r="J29" s="74"/>
    </x:row>
    <x:row r="30">
      <x:c r="C30" s="74"/>
      <x:c r="I30" s="74" t="str">
        <x:f>IF(C30="","",C30+3)</x:f>
      </x:c>
      <x:c r="J30" s="74"/>
    </x:row>
    <x:row r="31">
      <x:c r="C31" s="74"/>
      <x:c r="I31" s="74" t="str">
        <x:f>IF(C31="","",C31+3)</x:f>
      </x:c>
      <x:c r="J31" s="74"/>
    </x:row>
    <x:row r="32">
      <x:c r="C32" s="74"/>
      <x:c r="I32" s="74" t="str">
        <x:f>IF(C32="","",C32+3)</x:f>
      </x:c>
      <x:c r="J32" s="74"/>
    </x:row>
    <x:row r="33">
      <x:c r="C33" s="74"/>
      <x:c r="I33" s="74" t="str">
        <x:f>IF(C33="","",C33+3)</x:f>
      </x:c>
      <x:c r="J33" s="74"/>
    </x:row>
    <x:row r="34">
      <x:c r="C34" s="74"/>
      <x:c r="I34" s="74" t="str">
        <x:f>IF(C34="","",C34+3)</x:f>
      </x:c>
      <x:c r="J34" s="74"/>
    </x:row>
    <x:row r="35">
      <x:c r="C35" s="74"/>
      <x:c r="I35" s="74" t="str">
        <x:f>IF(C35="","",C35+3)</x:f>
      </x:c>
      <x:c r="J35" s="74"/>
    </x:row>
    <x:row r="36">
      <x:c r="C36" s="74"/>
      <x:c r="I36" s="74" t="str">
        <x:f>IF(C36="","",C36+3)</x:f>
      </x:c>
      <x:c r="J36" s="74"/>
    </x:row>
    <x:row r="37">
      <x:c r="C37" s="74"/>
      <x:c r="I37" s="74" t="str">
        <x:f>IF(C37="","",C37+3)</x:f>
      </x:c>
      <x:c r="J37" s="74"/>
    </x:row>
    <x:row r="38">
      <x:c r="C38" s="74"/>
      <x:c r="I38" s="74" t="str">
        <x:f>IF(C38="","",C38+3)</x:f>
      </x:c>
      <x:c r="J38" s="74"/>
    </x:row>
    <x:row r="39">
      <x:c r="C39" s="74"/>
      <x:c r="I39" s="74" t="str">
        <x:f>IF(C39="","",C39+3)</x:f>
      </x:c>
      <x:c r="J39" s="74"/>
    </x:row>
    <x:row r="40">
      <x:c r="C40" s="74"/>
      <x:c r="I40" s="74" t="str">
        <x:f>IF(C40="","",C40+3)</x:f>
      </x:c>
      <x:c r="J40" s="74"/>
    </x:row>
    <x:row r="41">
      <x:c r="C41" s="74"/>
      <x:c r="I41" s="74" t="str">
        <x:f>IF(C41="","",C41+3)</x:f>
      </x:c>
      <x:c r="J41" s="74"/>
    </x:row>
    <x:row r="42">
      <x:c r="C42" s="74"/>
      <x:c r="I42" s="74" t="str">
        <x:f>IF(C42="","",C42+3)</x:f>
      </x:c>
      <x:c r="J42" s="74"/>
    </x:row>
    <x:row r="43">
      <x:c r="C43" s="74"/>
      <x:c r="I43" s="74" t="str">
        <x:f>IF(C43="","",C43+3)</x:f>
      </x:c>
      <x:c r="J43" s="74"/>
    </x:row>
    <x:row r="44">
      <x:c r="C44" s="74"/>
      <x:c r="I44" s="74" t="str">
        <x:f>IF(C44="","",C44+3)</x:f>
      </x:c>
      <x:c r="J44" s="74"/>
    </x:row>
    <x:row r="45">
      <x:c r="C45" s="74"/>
      <x:c r="I45" s="74" t="str">
        <x:f>IF(C45="","",C45+3)</x:f>
      </x:c>
      <x:c r="J45" s="74"/>
    </x:row>
    <x:row r="46">
      <x:c r="C46" s="74"/>
      <x:c r="I46" s="74" t="str">
        <x:f>IF(C46="","",C46+3)</x:f>
      </x:c>
      <x:c r="J46" s="74"/>
    </x:row>
    <x:row r="47">
      <x:c r="C47" s="74"/>
      <x:c r="I47" s="74" t="str">
        <x:f>IF(C47="","",C47+3)</x:f>
      </x:c>
      <x:c r="J47" s="74"/>
    </x:row>
    <x:row r="48">
      <x:c r="C48" s="74"/>
      <x:c r="I48" s="74" t="str">
        <x:f>IF(C48="","",C48+3)</x:f>
      </x:c>
      <x:c r="J48" s="74"/>
    </x:row>
    <x:row r="49">
      <x:c r="C49" s="74"/>
      <x:c r="I49" s="74" t="str">
        <x:f>IF(C49="","",C49+3)</x:f>
      </x:c>
      <x:c r="J49" s="74"/>
    </x:row>
    <x:row r="50">
      <x:c r="C50" s="74"/>
      <x:c r="I50" s="74" t="str">
        <x:f>IF(C50="","",C50+3)</x:f>
      </x:c>
      <x:c r="J50" s="74"/>
    </x:row>
    <x:row r="51">
      <x:c r="C51" s="74"/>
      <x:c r="I51" s="74" t="str">
        <x:f>IF(C51="","",C51+3)</x:f>
      </x:c>
      <x:c r="J51" s="74"/>
    </x:row>
    <x:row r="52">
      <x:c r="C52" s="74"/>
      <x:c r="I52" s="74" t="str">
        <x:f>IF(C52="","",C52+3)</x:f>
      </x:c>
      <x:c r="J52" s="74"/>
    </x:row>
    <x:row r="53">
      <x:c r="C53" s="74"/>
      <x:c r="I53" s="74" t="str">
        <x:f>IF(C53="","",C53+3)</x:f>
      </x:c>
      <x:c r="J53" s="74"/>
    </x:row>
    <x:row r="54">
      <x:c r="C54" s="74"/>
      <x:c r="I54" s="74" t="str">
        <x:f>IF(C54="","",C54+3)</x:f>
      </x:c>
      <x:c r="J54" s="74"/>
    </x:row>
    <x:row r="55">
      <x:c r="C55" s="74"/>
      <x:c r="I55" s="74" t="str">
        <x:f>IF(C55="","",C55+3)</x:f>
      </x:c>
      <x:c r="J55" s="74"/>
    </x:row>
    <x:row r="56">
      <x:c r="C56" s="74"/>
      <x:c r="I56" s="74" t="str">
        <x:f>IF(C56="","",C56+3)</x:f>
      </x:c>
      <x:c r="J56" s="74"/>
    </x:row>
    <x:row r="57">
      <x:c r="C57" s="74"/>
      <x:c r="I57" s="74" t="str">
        <x:f>IF(C57="","",C57+3)</x:f>
      </x:c>
      <x:c r="J57" s="74"/>
    </x:row>
    <x:row r="58">
      <x:c r="C58" s="74"/>
      <x:c r="I58" s="74" t="str">
        <x:f>IF(C58="","",C58+3)</x:f>
      </x:c>
      <x:c r="J58" s="74"/>
    </x:row>
    <x:row r="59">
      <x:c r="C59" s="74"/>
      <x:c r="I59" s="74" t="str">
        <x:f>IF(C59="","",C59+3)</x:f>
      </x:c>
      <x:c r="J59" s="74"/>
    </x:row>
    <x:row r="60">
      <x:c r="C60" s="74"/>
      <x:c r="I60" s="74" t="str">
        <x:f>IF(C60="","",C60+3)</x:f>
      </x:c>
      <x:c r="J60" s="74"/>
    </x:row>
    <x:row r="61">
      <x:c r="C61" s="74"/>
      <x:c r="I61" s="74" t="str">
        <x:f>IF(C61="","",C61+3)</x:f>
      </x:c>
      <x:c r="J61" s="74"/>
    </x:row>
    <x:row r="62">
      <x:c r="C62" s="74"/>
      <x:c r="I62" s="74" t="str">
        <x:f>IF(C62="","",C62+3)</x:f>
      </x:c>
      <x:c r="J62" s="74"/>
    </x:row>
    <x:row r="63">
      <x:c r="C63" s="74"/>
      <x:c r="I63" s="74" t="str">
        <x:f>IF(C63="","",C63+3)</x:f>
      </x:c>
      <x:c r="J63" s="74"/>
    </x:row>
    <x:row r="64">
      <x:c r="C64" s="74"/>
      <x:c r="I64" s="74" t="str">
        <x:f>IF(C64="","",C64+3)</x:f>
      </x:c>
      <x:c r="J64" s="74"/>
    </x:row>
    <x:row r="65">
      <x:c r="C65" s="74"/>
      <x:c r="I65" s="74" t="str">
        <x:f>IF(C65="","",C65+3)</x:f>
      </x:c>
      <x:c r="J65" s="74"/>
    </x:row>
    <x:row r="66">
      <x:c r="C66" s="74"/>
      <x:c r="I66" s="74" t="str">
        <x:f>IF(C66="","",C66+3)</x:f>
      </x:c>
      <x:c r="J66" s="74"/>
    </x:row>
    <x:row r="67">
      <x:c r="C67" s="74"/>
      <x:c r="I67" s="74" t="str">
        <x:f>IF(C67="","",C67+3)</x:f>
      </x:c>
      <x:c r="J67" s="74"/>
    </x:row>
    <x:row r="68">
      <x:c r="C68" s="74"/>
      <x:c r="I68" s="74" t="str">
        <x:f>IF(C68="","",C68+3)</x:f>
      </x:c>
      <x:c r="J68" s="74"/>
    </x:row>
    <x:row r="69">
      <x:c r="C69" s="74"/>
      <x:c r="I69" s="74" t="str">
        <x:f>IF(C69="","",C69+3)</x:f>
      </x:c>
      <x:c r="J69" s="74"/>
    </x:row>
    <x:row r="70">
      <x:c r="C70" s="74"/>
      <x:c r="I70" s="74" t="str">
        <x:f>IF(C70="","",C70+3)</x:f>
      </x:c>
      <x:c r="J70" s="74"/>
    </x:row>
    <x:row r="71">
      <x:c r="C71" s="74"/>
      <x:c r="I71" s="74" t="str">
        <x:f>IF(C71="","",C71+3)</x:f>
      </x:c>
      <x:c r="J71" s="74"/>
    </x:row>
    <x:row r="72">
      <x:c r="C72" s="74"/>
      <x:c r="I72" s="74" t="str">
        <x:f>IF(C72="","",C72+3)</x:f>
      </x:c>
      <x:c r="J72" s="74"/>
    </x:row>
    <x:row r="73">
      <x:c r="C73" s="74"/>
      <x:c r="I73" s="74" t="str">
        <x:f>IF(C73="","",C73+3)</x:f>
      </x:c>
      <x:c r="J73" s="74"/>
    </x:row>
    <x:row r="74">
      <x:c r="C74" s="74"/>
      <x:c r="I74" s="74" t="str">
        <x:f>IF(C74="","",C74+3)</x:f>
      </x:c>
      <x:c r="J74" s="74"/>
    </x:row>
    <x:row r="75">
      <x:c r="C75" s="74"/>
      <x:c r="I75" s="74" t="str">
        <x:f>IF(C75="","",C75+3)</x:f>
      </x:c>
      <x:c r="J75" s="74"/>
    </x:row>
    <x:row r="76">
      <x:c r="C76" s="74"/>
      <x:c r="I76" s="74" t="str">
        <x:f>IF(C76="","",C76+3)</x:f>
      </x:c>
      <x:c r="J76" s="74"/>
    </x:row>
    <x:row r="77">
      <x:c r="C77" s="74"/>
      <x:c r="I77" s="74" t="str">
        <x:f>IF(C77="","",C77+3)</x:f>
      </x:c>
      <x:c r="J77" s="74"/>
    </x:row>
    <x:row r="78">
      <x:c r="C78" s="74"/>
      <x:c r="I78" s="74" t="str">
        <x:f>IF(C78="","",C78+3)</x:f>
      </x:c>
      <x:c r="J78" s="74"/>
    </x:row>
    <x:row r="79">
      <x:c r="C79" s="74"/>
      <x:c r="I79" s="74" t="str">
        <x:f>IF(C79="","",C79+3)</x:f>
      </x:c>
      <x:c r="J79" s="74"/>
    </x:row>
    <x:row r="80">
      <x:c r="C80" s="74"/>
      <x:c r="I80" s="74" t="str">
        <x:f>IF(C80="","",C80+3)</x:f>
      </x:c>
      <x:c r="J80" s="74"/>
    </x:row>
    <x:row r="81">
      <x:c r="C81" s="74"/>
      <x:c r="I81" s="74" t="str">
        <x:f>IF(C81="","",C81+3)</x:f>
      </x:c>
      <x:c r="J81" s="74"/>
    </x:row>
    <x:row r="82">
      <x:c r="C82" s="74"/>
      <x:c r="I82" s="74" t="str">
        <x:f>IF(C82="","",C82+3)</x:f>
      </x:c>
      <x:c r="J82" s="74"/>
    </x:row>
    <x:row r="83">
      <x:c r="C83" s="74"/>
      <x:c r="I83" s="74" t="str">
        <x:f>IF(C83="","",C83+3)</x:f>
      </x:c>
      <x:c r="J83" s="74"/>
    </x:row>
    <x:row r="84">
      <x:c r="C84" s="74"/>
      <x:c r="I84" s="74" t="str">
        <x:f>IF(C84="","",C84+3)</x:f>
      </x:c>
      <x:c r="J84" s="74"/>
    </x:row>
    <x:row r="85">
      <x:c r="C85" s="74"/>
      <x:c r="I85" s="74" t="str">
        <x:f>IF(C85="","",C85+3)</x:f>
      </x:c>
      <x:c r="J85" s="74"/>
    </x:row>
    <x:row r="86">
      <x:c r="C86" s="74"/>
      <x:c r="I86" s="74" t="str">
        <x:f>IF(C86="","",C86+3)</x:f>
      </x:c>
      <x:c r="J86" s="74"/>
    </x:row>
    <x:row r="87">
      <x:c r="C87" s="74"/>
      <x:c r="I87" s="74" t="str">
        <x:f>IF(C87="","",C87+3)</x:f>
      </x:c>
      <x:c r="J87" s="74"/>
    </x:row>
    <x:row r="88">
      <x:c r="C88" s="74"/>
      <x:c r="I88" s="74" t="str">
        <x:f>IF(C88="","",C88+3)</x:f>
      </x:c>
      <x:c r="J88" s="74"/>
    </x:row>
    <x:row r="89">
      <x:c r="C89" s="74"/>
      <x:c r="I89" s="74" t="str">
        <x:f>IF(C89="","",C89+3)</x:f>
      </x:c>
      <x:c r="J89" s="74"/>
    </x:row>
    <x:row r="90">
      <x:c r="C90" s="74"/>
      <x:c r="I90" s="74" t="str">
        <x:f>IF(C90="","",C90+3)</x:f>
      </x:c>
      <x:c r="J90" s="74"/>
    </x:row>
    <x:row r="91">
      <x:c r="C91" s="74"/>
      <x:c r="I91" s="74" t="str">
        <x:f>IF(C91="","",C91+3)</x:f>
      </x:c>
      <x:c r="J91" s="74"/>
    </x:row>
    <x:row r="92">
      <x:c r="C92" s="74"/>
      <x:c r="I92" s="74" t="str">
        <x:f>IF(C92="","",C92+3)</x:f>
      </x:c>
      <x:c r="J92" s="74"/>
    </x:row>
    <x:row r="93">
      <x:c r="C93" s="74"/>
      <x:c r="I93" s="74" t="str">
        <x:f>IF(C93="","",C93+3)</x:f>
      </x:c>
      <x:c r="J93" s="74"/>
    </x:row>
    <x:row r="94">
      <x:c r="C94" s="74"/>
      <x:c r="I94" s="74" t="str">
        <x:f>IF(C94="","",C94+3)</x:f>
      </x:c>
      <x:c r="J94" s="74"/>
    </x:row>
    <x:row r="95">
      <x:c r="C95" s="74"/>
      <x:c r="I95" s="74" t="str">
        <x:f>IF(C95="","",C95+3)</x:f>
      </x:c>
      <x:c r="J95" s="74"/>
    </x:row>
    <x:row r="96">
      <x:c r="C96" s="74"/>
      <x:c r="I96" s="74" t="str">
        <x:f>IF(C96="","",C96+3)</x:f>
      </x:c>
      <x:c r="J96" s="74"/>
    </x:row>
    <x:row r="97">
      <x:c r="C97" s="74"/>
      <x:c r="I97" s="74" t="str">
        <x:f>IF(C97="","",C97+3)</x:f>
      </x:c>
      <x:c r="J97" s="74"/>
    </x:row>
    <x:row r="98">
      <x:c r="C98" s="74"/>
      <x:c r="I98" s="74" t="str">
        <x:f>IF(C98="","",C98+3)</x:f>
      </x:c>
      <x:c r="J98" s="74"/>
    </x:row>
    <x:row r="99">
      <x:c r="C99" s="74"/>
      <x:c r="I99" s="74" t="str">
        <x:f>IF(C99="","",C99+3)</x:f>
      </x:c>
      <x:c r="J99" s="74"/>
    </x:row>
    <x:row r="100">
      <x:c r="C100" s="74"/>
      <x:c r="I100" s="74" t="str">
        <x:f>IF(C100="","",C100+3)</x:f>
      </x:c>
      <x:c r="J100" s="74"/>
    </x:row>
    <x:row r="101">
      <x:c r="C101" s="74"/>
      <x:c r="I101" s="74" t="str">
        <x:f>IF(C101="","",C101+3)</x:f>
      </x:c>
      <x:c r="J101" s="74"/>
    </x:row>
    <x:row r="102">
      <x:c r="C102" s="74"/>
      <x:c r="I102" s="74" t="str">
        <x:f>IF(C102="","",C102+3)</x:f>
      </x:c>
      <x:c r="J102" s="74"/>
    </x:row>
    <x:row r="103">
      <x:c r="C103" s="74"/>
      <x:c r="I103" s="74" t="str">
        <x:f>IF(C103="","",C103+3)</x:f>
      </x:c>
      <x:c r="J103" s="74"/>
    </x:row>
    <x:row r="104">
      <x:c r="C104" s="74"/>
      <x:c r="I104" s="74" t="str">
        <x:f>IF(C104="","",C104+3)</x:f>
      </x:c>
      <x:c r="J104" s="74"/>
    </x:row>
    <x:row r="105">
      <x:c r="C105" s="74"/>
      <x:c r="I105" s="74" t="str">
        <x:f>IF(C105="","",C105+3)</x:f>
      </x:c>
      <x:c r="J105" s="74"/>
    </x:row>
  </x:sheetData>
  <x:mergeCells>
    <x:mergeCell ref="A1:Q1"/>
    <x:mergeCell ref="A2:Q2"/>
  </x:mergeCells>
  <x:dataValidations count="4">
    <x:dataValidation type="list" sqref="D6:D105">
      <x:formula1>"Controller,Processor,Both,Unknown - seek advice"</x:formula1>
    </x:dataValidation>
    <x:dataValidation type="list" sqref="H6:H105">
      <x:formula1>"Notify,Do not notify,Seek advice,Not applicable"</x:formula1>
    </x:dataValidation>
    <x:dataValidation type="list" sqref="K6:K105">
      <x:formula1>"Notify individuals,Do not notify,Seek advice,Not applicable"</x:formula1>
    </x:dataValidation>
    <x:dataValidation type="list" sqref="P6:P105">
      <x:formula1>"Open,Decision recorded,Notified,Closed"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42" hidden="0" customWidth="1"/>
    <x:col min="3" max="3" width="22" hidden="0" customWidth="1"/>
    <x:col min="4" max="4" width="18" hidden="0" customWidth="1"/>
    <x:col min="5" max="5" width="14" hidden="0" customWidth="1"/>
    <x:col min="6" max="6" width="14" hidden="0" customWidth="1"/>
    <x:col min="7" max="7" width="32" hidden="0" customWidth="1"/>
    <x:col min="8" max="8" width="15" hidden="0" customWidth="1"/>
    <x:col min="9" max="9" width="52" hidden="0" customWidth="1"/>
  </x:cols>
  <x:sheetData>
    <x:row r="1" ht="34" customHeight="1">
      <x:c r="A1" s="3" t="str">
        <x:v>Governance Review Schedule</x:v>
      </x:c>
      <x:c r="B1" s="3"/>
      <x:c r="C1" s="3"/>
      <x:c r="D1" s="3"/>
      <x:c r="E1" s="3"/>
      <x:c r="F1" s="3"/>
      <x:c r="G1" s="3"/>
      <x:c r="H1" s="3"/>
      <x:c r="I1" s="3"/>
    </x:row>
    <x:row r="2" ht="31" customHeight="1">
      <x:c r="A2" s="7" t="str">
        <x:v>Scheduled evidence keeps the processes operating. Dates may be adjusted at adoption, but quarterly risk/privacy reviews and annual tabletop testing should remain.</x:v>
      </x:c>
      <x:c r="B2" s="7"/>
      <x:c r="C2" s="7"/>
      <x:c r="D2" s="7"/>
      <x:c r="E2" s="7"/>
      <x:c r="F2" s="7"/>
      <x:c r="G2" s="7"/>
      <x:c r="H2" s="7"/>
      <x:c r="I2" s="7"/>
    </x:row>
    <x:row r="5">
      <x:c r="A5" s="45" t="str">
        <x:v>Review ID</x:v>
      </x:c>
      <x:c r="B5" s="45" t="str">
        <x:v>Activity</x:v>
      </x:c>
      <x:c r="C5" s="45" t="str">
        <x:v>Owner</x:v>
      </x:c>
      <x:c r="D5" s="45" t="str">
        <x:v>Frequency</x:v>
      </x:c>
      <x:c r="E5" s="45" t="str">
        <x:v>Due date</x:v>
      </x:c>
      <x:c r="F5" s="45" t="str">
        <x:v>Completed date</x:v>
      </x:c>
      <x:c r="G5" s="45" t="str">
        <x:v>Evidence reference</x:v>
      </x:c>
      <x:c r="H5" s="45" t="str">
        <x:v>Status</x:v>
      </x:c>
      <x:c r="I5" s="45" t="str">
        <x:v>Notes / actions</x:v>
      </x:c>
    </x:row>
    <x:row r="6">
      <x:c r="A6" s="51" t="str">
        <x:v>G-001</x:v>
      </x:c>
      <x:c r="B6" s="51" t="str">
        <x:v>Initial policy approval and register validation</x:v>
      </x:c>
      <x:c r="C6" s="51" t="str">
        <x:v>Product Owner</x:v>
      </x:c>
      <x:c r="D6" s="51" t="str">
        <x:v>One-time adoption</x:v>
      </x:c>
      <x:c r="E6" s="70" t="n">
        <x:v>46270</x:v>
      </x:c>
      <x:c r="F6" s="70"/>
      <x:c r="G6" s="51" t="str">
        <x:v>[approval record]</x:v>
      </x:c>
      <x:c r="H6" s="51" t="str">
        <x:f>IF(F6&lt;&gt;"","Complete",IF(E6&lt;TODAY(),"Overdue",IF(E6-TODAY()&lt;=30,"Due soon","Scheduled")))</x:f>
        <x:v>Due soon</x:v>
      </x:c>
      <x:c r="I6" s="51" t="str">
        <x:v>Complete before representing processes as operating.</x:v>
      </x:c>
    </x:row>
    <x:row r="7">
      <x:c r="A7" s="52" t="str">
        <x:v>G-002</x:v>
      </x:c>
      <x:c r="B7" s="52" t="str">
        <x:v>Security and privacy risk review - Q3 2026</x:v>
      </x:c>
      <x:c r="C7" s="52" t="str">
        <x:v>Product Owner</x:v>
      </x:c>
      <x:c r="D7" s="52" t="str">
        <x:v>Quarterly</x:v>
      </x:c>
      <x:c r="E7" s="71" t="n">
        <x:v>46295</x:v>
      </x:c>
      <x:c r="F7" s="71"/>
      <x:c r="G7" s="52" t="str">
        <x:v>[meeting record]</x:v>
      </x:c>
      <x:c r="H7" s="52" t="str">
        <x:f>IF(F7&lt;&gt;"","Complete",IF(E7&lt;TODAY(),"Overdue",IF(E7-TODAY()&lt;=30,"Due soon","Scheduled")))</x:f>
        <x:v>Scheduled</x:v>
      </x:c>
      <x:c r="I7" s="52" t="str">
        <x:v>Review all open risks, screenings, incidents, vendor changes, and actions.</x:v>
      </x:c>
    </x:row>
    <x:row r="8">
      <x:c r="A8" s="52" t="str">
        <x:v>G-003</x:v>
      </x:c>
      <x:c r="B8" s="52" t="str">
        <x:v>Incident response and breach tabletop</x:v>
      </x:c>
      <x:c r="C8" s="52" t="str">
        <x:v>Incident Lead</x:v>
      </x:c>
      <x:c r="D8" s="52" t="str">
        <x:v>Annual</x:v>
      </x:c>
      <x:c r="E8" s="71" t="n">
        <x:v>46295</x:v>
      </x:c>
      <x:c r="F8" s="71"/>
      <x:c r="G8" s="52" t="str">
        <x:v>[completed exercise record]</x:v>
      </x:c>
      <x:c r="H8" s="52" t="str">
        <x:f>IF(F8&lt;&gt;"","Complete",IF(E8&lt;TODAY(),"Overdue",IF(E8-TODAY()&lt;=30,"Due soon","Scheduled")))</x:f>
        <x:v>Scheduled</x:v>
      </x:c>
      <x:c r="I8" s="52" t="str">
        <x:v>Use the scenario in the Adoption and Assurance Record.</x:v>
      </x:c>
    </x:row>
    <x:row r="9">
      <x:c r="A9" s="52" t="str">
        <x:v>G-004</x:v>
      </x:c>
      <x:c r="B9" s="52" t="str">
        <x:v>Security and privacy risk review - Q4 2026</x:v>
      </x:c>
      <x:c r="C9" s="52" t="str">
        <x:v>Product Owner</x:v>
      </x:c>
      <x:c r="D9" s="52" t="str">
        <x:v>Quarterly</x:v>
      </x:c>
      <x:c r="E9" s="71" t="n">
        <x:v>46387</x:v>
      </x:c>
      <x:c r="F9" s="71"/>
      <x:c r="G9" s="52" t="str">
        <x:v>[meeting record]</x:v>
      </x:c>
      <x:c r="H9" s="52" t="str">
        <x:f>IF(F9&lt;&gt;"","Complete",IF(E9&lt;TODAY(),"Overdue",IF(E9-TODAY()&lt;=30,"Due soon","Scheduled")))</x:f>
        <x:v>Scheduled</x:v>
      </x:c>
      <x:c r="I9" s="52" t="str"/>
    </x:row>
    <x:row r="10">
      <x:c r="A10" s="52" t="str">
        <x:v>G-005</x:v>
      </x:c>
      <x:c r="B10" s="52" t="str">
        <x:v>Security and privacy risk review - Q1 2027</x:v>
      </x:c>
      <x:c r="C10" s="52" t="str">
        <x:v>Product Owner</x:v>
      </x:c>
      <x:c r="D10" s="52" t="str">
        <x:v>Quarterly</x:v>
      </x:c>
      <x:c r="E10" s="71" t="n">
        <x:v>46477</x:v>
      </x:c>
      <x:c r="F10" s="71"/>
      <x:c r="G10" s="52" t="str">
        <x:v>[meeting record]</x:v>
      </x:c>
      <x:c r="H10" s="52" t="str">
        <x:f>IF(F10&lt;&gt;"","Complete",IF(E10&lt;TODAY(),"Overdue",IF(E10-TODAY()&lt;=30,"Due soon","Scheduled")))</x:f>
        <x:v>Scheduled</x:v>
      </x:c>
      <x:c r="I10" s="52" t="str"/>
    </x:row>
    <x:row r="11">
      <x:c r="A11" s="52" t="str">
        <x:v>G-006</x:v>
      </x:c>
      <x:c r="B11" s="52" t="str">
        <x:v>Security and privacy risk review - Q2 2027</x:v>
      </x:c>
      <x:c r="C11" s="52" t="str">
        <x:v>Product Owner</x:v>
      </x:c>
      <x:c r="D11" s="52" t="str">
        <x:v>Quarterly</x:v>
      </x:c>
      <x:c r="E11" s="71" t="n">
        <x:v>46568</x:v>
      </x:c>
      <x:c r="F11" s="71"/>
      <x:c r="G11" s="52" t="str">
        <x:v>[meeting record]</x:v>
      </x:c>
      <x:c r="H11" s="52" t="str">
        <x:f>IF(F11&lt;&gt;"","Complete",IF(E11&lt;TODAY(),"Overdue",IF(E11-TODAY()&lt;=30,"Due soon","Scheduled")))</x:f>
        <x:v>Scheduled</x:v>
      </x:c>
      <x:c r="I11" s="52" t="str"/>
    </x:row>
    <x:row r="12">
      <x:c r="A12" s="52" t="str">
        <x:v>G-007</x:v>
      </x:c>
      <x:c r="B12" s="52" t="str">
        <x:v>Annual policy and process review</x:v>
      </x:c>
      <x:c r="C12" s="52" t="str">
        <x:v>Product Owner</x:v>
      </x:c>
      <x:c r="D12" s="52" t="str">
        <x:v>Annual</x:v>
      </x:c>
      <x:c r="E12" s="71" t="n">
        <x:v>46622</x:v>
      </x:c>
      <x:c r="F12" s="71"/>
      <x:c r="G12" s="52" t="str">
        <x:v>[approval / change record]</x:v>
      </x:c>
      <x:c r="H12" s="52" t="str">
        <x:f>IF(F12&lt;&gt;"","Complete",IF(E12&lt;TODAY(),"Overdue",IF(E12-TODAY()&lt;=30,"Due soon","Scheduled")))</x:f>
        <x:v>Scheduled</x:v>
      </x:c>
      <x:c r="I12" s="52" t="str">
        <x:v>Review after material change even if annual date has not arrived.</x:v>
      </x:c>
    </x:row>
    <x:row r="13">
      <x:c r="A13" s="52" t="str">
        <x:v>G-008</x:v>
      </x:c>
      <x:c r="B13" s="52" t="str">
        <x:v>Annual incident response and breach tabletop</x:v>
      </x:c>
      <x:c r="C13" s="52" t="str">
        <x:v>Incident Lead</x:v>
      </x:c>
      <x:c r="D13" s="52" t="str">
        <x:v>Annual</x:v>
      </x:c>
      <x:c r="E13" s="71" t="n">
        <x:v>46622</x:v>
      </x:c>
      <x:c r="F13" s="71"/>
      <x:c r="G13" s="52" t="str">
        <x:v>[exercise record]</x:v>
      </x:c>
      <x:c r="H13" s="52" t="str">
        <x:f>IF(F13&lt;&gt;"","Complete",IF(E13&lt;TODAY(),"Overdue",IF(E13-TODAY()&lt;=30,"Due soon","Scheduled")))</x:f>
        <x:v>Scheduled</x:v>
      </x:c>
      <x:c r="I13" s="52" t="str">
        <x:v>Run sooner after material personnel/architecture changes.</x:v>
      </x:c>
    </x:row>
  </x:sheetData>
  <x:mergeCells>
    <x:mergeCell ref="A1:I1"/>
    <x:mergeCell ref="A2:I2"/>
  </x:mergeCells>
  <x:conditionalFormatting sqref="H6:H105">
    <x:cfRule type="expression" dxfId="2" priority="1">
      <x:formula>$H6="Overdue"</x:formula>
    </x:cfRule>
    <x:cfRule type="expression" dxfId="3" priority="2">
      <x:formula>$H6="Due soon"</x:formula>
    </x:cfRule>
    <x:cfRule type="expression" dxfId="4" priority="3">
      <x:formula>$H6="Complete"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77ed4dce5934d4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46" hidden="0" customWidth="1"/>
    <x:col min="3" max="3" width="28" hidden="0" customWidth="1"/>
    <x:col min="4" max="4" width="20" hidden="0" customWidth="1"/>
    <x:col min="5" max="5" width="18" hidden="0" customWidth="1"/>
    <x:col min="6" max="6" width="72" hidden="0" customWidth="1"/>
    <x:col min="7" max="7" width="48" hidden="0" customWidth="1"/>
  </x:cols>
  <x:sheetData>
    <x:row r="1" ht="34" customHeight="1">
      <x:c r="A1" s="3" t="str">
        <x:v>Governance Evidence Index</x:v>
      </x:c>
      <x:c r="B1" s="3"/>
      <x:c r="C1" s="3"/>
      <x:c r="D1" s="3"/>
      <x:c r="E1" s="3"/>
      <x:c r="F1" s="3"/>
      <x:c r="G1" s="3"/>
    </x:row>
    <x:row r="2" ht="31" customHeight="1">
      <x:c r="A2" s="7" t="str">
        <x:v>Link or describe evidence without copying secrets, raw tokens, or unnecessary personal data. Keep sensitive material in a restricted source location.</x:v>
      </x:c>
      <x:c r="B2" s="7"/>
      <x:c r="C2" s="7"/>
      <x:c r="D2" s="7"/>
      <x:c r="E2" s="7"/>
      <x:c r="F2" s="7"/>
      <x:c r="G2" s="7"/>
    </x:row>
    <x:row r="5">
      <x:c r="A5" s="45" t="str">
        <x:v>Evidence ID</x:v>
      </x:c>
      <x:c r="B5" s="45" t="str">
        <x:v>Artifact / control</x:v>
      </x:c>
      <x:c r="C5" s="45" t="str">
        <x:v>Owner</x:v>
      </x:c>
      <x:c r="D5" s="45" t="str">
        <x:v>Status</x:v>
      </x:c>
      <x:c r="E5" s="45" t="str">
        <x:v>Approval / review date</x:v>
      </x:c>
      <x:c r="F5" s="45" t="str">
        <x:v>Location or reference</x:v>
      </x:c>
      <x:c r="G5" s="45" t="str">
        <x:v>Notes</x:v>
      </x:c>
    </x:row>
    <x:row r="6">
      <x:c r="A6" s="51" t="str">
        <x:v>E-001</x:v>
      </x:c>
      <x:c r="B6" s="51" t="str">
        <x:v>Information Security Risk Management Policy v1.0</x:v>
      </x:c>
      <x:c r="C6" s="51" t="str">
        <x:v>Product Owner</x:v>
      </x:c>
      <x:c r="D6" s="51" t="str">
        <x:v>Ready for approval</x:v>
      </x:c>
      <x:c r="E6" s="70"/>
      <x:c r="F6" s="51" t="str">
        <x:v>01_Information_Security_Risk_Management_Policy.docx</x:v>
      </x:c>
      <x:c r="G6" s="51" t="str">
        <x:v>Enter signed approval and effective date.</x:v>
      </x:c>
    </x:row>
    <x:row r="7">
      <x:c r="A7" s="52" t="str">
        <x:v>E-002</x:v>
      </x:c>
      <x:c r="B7" s="52" t="str">
        <x:v>Incident Response and Breach Notification Procedure v1.0</x:v>
      </x:c>
      <x:c r="C7" s="52" t="str">
        <x:v>Product Owner / Incident Lead</x:v>
      </x:c>
      <x:c r="D7" s="52" t="str">
        <x:v>Ready for approval</x:v>
      </x:c>
      <x:c r="E7" s="71"/>
      <x:c r="F7" s="52" t="str">
        <x:v>02_Incident_Response_and_Breach_Notification_Procedure.docx</x:v>
      </x:c>
      <x:c r="G7" s="52" t="str">
        <x:v>Name operational contacts before approval.</x:v>
      </x:c>
    </x:row>
    <x:row r="8">
      <x:c r="A8" s="52" t="str">
        <x:v>E-003</x:v>
      </x:c>
      <x:c r="B8" s="52" t="str">
        <x:v>Privacy Risk and DPIA Procedure v1.0</x:v>
      </x:c>
      <x:c r="C8" s="52" t="str">
        <x:v>Product Owner</x:v>
      </x:c>
      <x:c r="D8" s="52" t="str">
        <x:v>Ready for approval</x:v>
      </x:c>
      <x:c r="E8" s="71"/>
      <x:c r="F8" s="52" t="str">
        <x:v>03_Privacy_Risk_and_DPIA_Procedure.docx</x:v>
      </x:c>
      <x:c r="G8" s="52" t="str">
        <x:v>Validate initial privacy screenings.</x:v>
      </x:c>
    </x:row>
    <x:row r="9">
      <x:c r="A9" s="52" t="str">
        <x:v>E-004</x:v>
      </x:c>
      <x:c r="B9" s="52" t="str">
        <x:v>Governance Adoption and Assurance Record v1.0</x:v>
      </x:c>
      <x:c r="C9" s="52" t="str">
        <x:v>Product Owner</x:v>
      </x:c>
      <x:c r="D9" s="52" t="str">
        <x:v>Open</x:v>
      </x:c>
      <x:c r="E9" s="71"/>
      <x:c r="F9" s="52" t="str">
        <x:v>04_Governance_Adoption_and_Assurance_Record.docx</x:v>
      </x:c>
      <x:c r="G9" s="52" t="str">
        <x:v>Complete approval and tabletop sections.</x:v>
      </x:c>
    </x:row>
    <x:row r="10">
      <x:c r="A10" s="52" t="str">
        <x:v>E-005</x:v>
      </x:c>
      <x:c r="B10" s="52" t="str">
        <x:v>Initial security risk review</x:v>
      </x:c>
      <x:c r="C10" s="52" t="str">
        <x:v>Product Owner</x:v>
      </x:c>
      <x:c r="D10" s="52" t="str">
        <x:v>Open</x:v>
      </x:c>
      <x:c r="E10" s="71"/>
      <x:c r="F10" s="52" t="str">
        <x:v>Risk Register tab</x:v>
      </x:c>
      <x:c r="G10" s="52" t="str">
        <x:v>Validate scoring, controls, owners, dates, and references.</x:v>
      </x:c>
    </x:row>
    <x:row r="11">
      <x:c r="A11" s="52" t="str">
        <x:v>E-006</x:v>
      </x:c>
      <x:c r="B11" s="52" t="str">
        <x:v>Initial privacy-risk review</x:v>
      </x:c>
      <x:c r="C11" s="52" t="str">
        <x:v>Product Owner / Privacy reviewer</x:v>
      </x:c>
      <x:c r="D11" s="52" t="str">
        <x:v>Open</x:v>
      </x:c>
      <x:c r="E11" s="71"/>
      <x:c r="F11" s="52" t="str">
        <x:v>Privacy Screening tab</x:v>
      </x:c>
      <x:c r="G11" s="52" t="str">
        <x:v>Validate data flows and decisions; complete any required DPIA.</x:v>
      </x:c>
    </x:row>
    <x:row r="12">
      <x:c r="A12" s="52" t="str">
        <x:v>E-007</x:v>
      </x:c>
      <x:c r="B12" s="52" t="str">
        <x:v>Initial incident/breach tabletop</x:v>
      </x:c>
      <x:c r="C12" s="52" t="str">
        <x:v>Incident Lead</x:v>
      </x:c>
      <x:c r="D12" s="52" t="str">
        <x:v>Open</x:v>
      </x:c>
      <x:c r="E12" s="71"/>
      <x:c r="F12" s="52" t="str">
        <x:v>Adoption record + supporting notes</x:v>
      </x:c>
      <x:c r="G12" s="52" t="str">
        <x:v>Record participants, decisions, gaps, and actions.</x:v>
      </x:c>
    </x:row>
    <x:row r="13">
      <x:c r="A13" s="52" t="str">
        <x:v>E-008</x:v>
      </x:c>
      <x:c r="B13" s="52" t="str">
        <x:v>ICO personal data breach guidance</x:v>
      </x:c>
      <x:c r="C13" s="52" t="str">
        <x:v>Reference</x:v>
      </x:c>
      <x:c r="D13" s="52" t="str">
        <x:v>Current reference</x:v>
      </x:c>
      <x:c r="E13" s="71" t="n">
        <x:v>45889</x:v>
      </x:c>
      <x:c r="F13" s="52" t="str">
        <x:v>https://ico.org.uk/for-organisations/report-a-breach/personal-data-breach/personal-data-breaches-a-guide/</x:v>
      </x:c>
      <x:c r="G13" s="52" t="str">
        <x:v>Check for updates during annual review.</x:v>
      </x:c>
    </x:row>
    <x:row r="14">
      <x:c r="A14" s="52" t="str">
        <x:v>E-009</x:v>
      </x:c>
      <x:c r="B14" s="52" t="str">
        <x:v>ICO DPIA guidance</x:v>
      </x:c>
      <x:c r="C14" s="52" t="str">
        <x:v>Reference</x:v>
      </x:c>
      <x:c r="D14" s="52" t="str">
        <x:v>Current reference</x:v>
      </x:c>
      <x:c r="E14" s="71"/>
      <x:c r="F14" s="52" t="str">
        <x:v>https://ico.org.uk/for-organisations/uk-gdpr-guidance-and-resources/accountability-and-governance/data-protection-impact-assessments-dpias/</x:v>
      </x:c>
      <x:c r="G14" s="52" t="str">
        <x:v>Check for updates during annual review.</x:v>
      </x:c>
    </x:row>
    <x:row r="15">
      <x:c r="A15" s="52" t="str">
        <x:v>E-010</x:v>
      </x:c>
      <x:c r="B15" s="52" t="str">
        <x:v>NIST CSF 2.0 Small Business Quick-Start Guide</x:v>
      </x:c>
      <x:c r="C15" s="52" t="str">
        <x:v>Reference</x:v>
      </x:c>
      <x:c r="D15" s="52" t="str">
        <x:v>Current reference</x:v>
      </x:c>
      <x:c r="E15" s="71"/>
      <x:c r="F15" s="52" t="str">
        <x:v>https://csrc.nist.gov/pubs/sp/1300/final</x:v>
      </x:c>
      <x:c r="G15" s="52" t="str">
        <x:v>Proportionate small-business security framework reference.</x:v>
      </x:c>
    </x:row>
  </x:sheetData>
  <x:mergeCells>
    <x:mergeCell ref="A1:G1"/>
    <x:mergeCell ref="A2:G2"/>
  </x:mergeCells>
  <x:dataValidations count="1">
    <x:dataValidation type="list" sqref="D6:D105">
      <x:formula1>"Ready for approval,Approved,Open,Complete,Superseded,Current reference"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660c334a97a4b57"/>
  </x:tableParts>
</x:worksheet>
</file>