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d24c53a30364f83" /></Relationships>
</file>

<file path=xl/workbook.xml><?xml version="1.0" encoding="utf-8"?>
<x:workbook xmlns:x="http://schemas.openxmlformats.org/spreadsheetml/2006/main">
  <x:sheets>
    <x:sheet xmlns:r="http://schemas.openxmlformats.org/officeDocument/2006/relationships" name="Start Here" sheetId="1" r:id="Rcfacbe2daa384f72"/>
    <x:sheet xmlns:r="http://schemas.openxmlformats.org/officeDocument/2006/relationships" name="Review Queue" sheetId="2" r:id="R2d4a8f070ccf43cc"/>
  </x:sheets>
</x:workbook>
</file>

<file path=xl/sharedStrings.xml><?xml version="1.0" encoding="utf-8"?>
<x:sst xmlns:x="http://schemas.openxmlformats.org/spreadsheetml/2006/main">
  <x:si>
    <x:t xml:space="preserve">Policy Review Adjudication</x:t>
  </x:si>
  <x:si>
    <x:t xml:space="preserve">One row per model disagreement. Start with the 11 three-way splits, choose your decision from the dropdown, add a short rationale, and mark the row Reviewed.</x:t>
  </x:si>
  <x:si>
    <x:t xml:space="preserve">Metric</x:t>
  </x:si>
  <x:si>
    <x:t xml:space="preserve">Value</x:t>
  </x:si>
  <x:si>
    <x:t xml:space="preserve">Review order</x:t>
  </x:si>
  <x:si>
    <x:t xml:space="preserve">Action</x:t>
  </x:si>
  <x:si>
    <x:t xml:space="preserve">Total disagreement rows</x:t>
  </x:si>
  <x:si>
    <x:t xml:space="preserve">1</x:t>
  </x:si>
  <x:si>
    <x:t xml:space="preserve">Filter Review tier to Three-way split</x:t>
  </x:si>
  <x:si>
    <x:t xml:space="preserve">Three-way splits</x:t>
  </x:si>
  <x:si>
    <x:t xml:space="preserve">2</x:t>
  </x:si>
  <x:si>
    <x:t xml:space="preserve">Choose Your decision and add a short rationale</x:t>
  </x:si>
  <x:si>
    <x:t xml:space="preserve">Two-model-majority rows</x:t>
  </x:si>
  <x:si>
    <x:t xml:space="preserve">3</x:t>
  </x:si>
  <x:si>
    <x:t xml:space="preserve">Mark Reviewed, then continue with 2-model majority</x:t>
  </x:si>
  <x:si>
    <x:t xml:space="preserve">Reviewed</x:t>
  </x:si>
  <x:si>
    <x:t xml:space="preserve">Needs follow-up</x:t>
  </x:si>
  <x:si>
    <x:t xml:space="preserve">Remaining</x:t>
  </x:si>
  <x:si>
    <x:t xml:space="preserve">Topic</x:t>
  </x:si>
  <x:si>
    <x:t xml:space="preserve">Disagreements</x:t>
  </x:si>
  <x:si>
    <x:t xml:space="preserve">Processing purposes</x:t>
  </x:si>
  <x:si>
    <x:t xml:space="preserve">Legal basis</x:t>
  </x:si>
  <x:si>
    <x:t xml:space="preserve">Data retention</x:t>
  </x:si>
  <x:si>
    <x:t xml:space="preserve">International transfers</x:t>
  </x:si>
  <x:si>
    <x:t xml:space="preserve">Vendor disclosures</x:t>
  </x:si>
  <x:si>
    <x:t xml:space="preserve">Data-subject rights</x:t>
  </x:si>
  <x:si>
    <x:t xml:space="preserve">Policy/runtime consistency</x:t>
  </x:si>
  <x:si>
    <x:t xml:space="preserve">TOTAL</x:t>
  </x:si>
  <x:si>
    <x:t xml:space="preserve">Status guide
observed = direct substantive evidence • not_observed_with_sufficient_coverage = adequate coverage but absent • ambiguous = relevant but unclear/incomplete • conflicting = material retained contradiction • insufficient_retained_evidence = capture is inadequate to decide</x:t>
  </x:si>
  <x:si>
    <x:t xml:space="preserve">ID</x:t>
  </x:si>
  <x:si>
    <x:t xml:space="preserve">Review tier</x:t>
  </x:si>
  <x:si>
    <x:t xml:space="preserve">Case</x:t>
  </x:si>
  <x:si>
    <x:t xml:space="preserve">Majority</x:t>
  </x:si>
  <x:si>
    <x:t xml:space="preserve">Mini status</x:t>
  </x:si>
  <x:si>
    <x:t xml:space="preserve">Mini rationale + evidence</x:t>
  </x:si>
  <x:si>
    <x:t xml:space="preserve">5.6 Sol status</x:t>
  </x:si>
  <x:si>
    <x:t xml:space="preserve">5.6 Sol rationale + evidence</x:t>
  </x:si>
  <x:si>
    <x:t xml:space="preserve">Sonnet status</x:t>
  </x:si>
  <x:si>
    <x:t xml:space="preserve">Sonnet rationale + evidence</x:t>
  </x:si>
  <x:si>
    <x:t xml:space="preserve">Your decision</x:t>
  </x:si>
  <x:si>
    <x:t xml:space="preserve">Confidence</x:t>
  </x:si>
  <x:si>
    <x:t xml:space="preserve">Your rationale / notes</x:t>
  </x:si>
  <x:si>
    <x:t xml:space="preserve">Review status</x:t>
  </x:si>
  <x:si>
    <x:t xml:space="preserve">Three-way split</x:t>
  </x:si>
  <x:si>
    <x:t xml:space="preserve">amazon-20260629</x:t>
  </x:si>
  <x:si>
    <x:t xml:space="preserve">No majority</x:t>
  </x:si>
  <x:si>
    <x:t xml:space="preserve">not_observed_with_sufficient_coverage</x:t>
  </x:si>
  <x:si>
    <x:t xml:space="preserve">The retained text includes a consent statement and a transfer-framework participation statement, but no substantive passage describing a legal basis for processing (for example, contract, legitimate interests, consent as a basis, or legal obligation as a basis) with sufficient coverage.
Retained evidence:
• "By using Amazon Services, you are consenting to the practices described in this Privacy Notice."
• "EU-US Data Privacy Framework, UK Extension, and Swiss-US Data Privacy Framework Amazon.com, Inc. participates in the EU-US Data Privacy Framework..."
Evidence refs: policy_surface_b27095be, policy_surface_777bee15
Reason codes: NO_SUBSTANTIVE_LEGAL_BASIS_DISCLOSURE
Mini confidence: 91%</x:t>
  </x:si>
  <x:si>
    <x:t xml:space="preserve">ambiguous</x:t>
  </x:si>
  <x:si>
    <x:t xml:space="preserve">The notice refers to user consent and compliance with legal obligations, but the retained language does not clearly present these as an organized statement of lawful bases for particular processing activities. The evidence is therefore relevant but semantically inconclusive.
Retained evidence:
• By using Amazon Services, you are consenting to the practices described in this Privacy Notice.
• Comply with legal obligations.
Evidence refs: policy_surface_777bee15
Reason codes: GENERAL_CONSENT_LANGUAGE, LEGAL_OBLIGATION_REFERENCED_AS_PURPOSE, NO_CLEAR_PROCESSING_TO_LEGAL_BASIS_MAPPING
5.6 Sol confidence: 82%</x:t>
  </x:si>
  <x:si>
    <x:t xml:space="preserve">observed</x:t>
  </x:si>
  <x:si>
    <x:t xml:space="preserve">The retained text explicitly ties a processing purpose to the legal-obligation basis ("Comply with legal obligations. In cert[ain circumstances]...") and separately frames overall processing on a consent basis ("By using Amazon Services, you are consenting to the practices described in this Privacy Notice"). These are substantive, if limited, legal-basis references rather than purpose description alone.
Evidence refs: policy_surface_b27095be, policy_surface_777bee15</x:t>
  </x:si>
  <x:si>
    <x:t xml:space="preserve">Medium</x:t>
  </x:si>
  <x:si>
    <x:t xml:space="preserve">Fable 5 seed — Legal-basis references are retained and, on a practical reading, disclose the bases relied on. Evidence: "By using Amazon Services, you are consenting to the practices described in this Privacy Notice" and "Comply with legal obligations" (policy_surface_b27095be/777bee15). Reasoning: Consent framing plus a legal-obligation reference tied to processing are legal-basis disclosures in substance, even if not organized as a GDPR-style mapping. Disagreement: Mini/Sol demand a formal basis-to-processing mapping; the retained language is close enough to the topic's intent to count, with the informality noted for the reviewer.</x:t>
  </x:si>
  <x:si>
    <x:t xml:space="preserve">caltech-20260701</x:t>
  </x:si>
  <x:si>
    <x:t xml:space="preserve">The retained notice describes collection/use/disclosure and legal compliance, but does not state a GDPR-style legal basis framework such as consent, contract, legitimate interests, or legal obligation as the basis for processing.
Retained evidence:
• "This Notice governs how California Institute of Technology (\"Caltech,\" \"we,\" \"us,\" or \"our\") collects, uses, processes, discloses and retains information we collect about you through our websites and mobile applications..."
• "Caltech will take reasonable steps to ensure that your privacy is protected consistent with applicable federal and state laws."
Evidence refs: policy_surface_5ec8250f
Reason codes: NO_EXPLICIT_LEGAL_BASIS
Mini confidence: 88%</x:t>
  </x:si>
  <x:si>
    <x:t xml:space="preserve">insufficient_retained_evidence</x:t>
  </x:si>
  <x:si>
    <x:t xml:space="preserve">The retained notice does not enumerate lawful bases for processing and refers EEA and UK users to a separate GDPR resource that was not retained. Because that referenced document may contain the relevant legal-basis disclosure, absence could result from incomplete capture.
Retained evidence:
• If you reside within the European Economic Area (consisting of the European Union, Iceland, Lichtenstein, and Norway) or the United Kingdom, please click here for additional information regarding rights and protections that may apply to you under the General Data Protection Regulation.
Evidence refs: policy_surface_5ec8250f
Reason codes: LAWFUL_BASES_NOT_IN_RETAINED_NOTICE, REFERENCED_GDPR_SUPPLEMENT_NOT_RETAINED
5.6 Sol confidence: 93%</x:t>
  </x:si>
  <x:si>
    <x:t xml:space="preserve">Section 3 explicitly ties consent to specific processing ('we may disclose your information to third parties when you provide us your consent to do so'), and Section 2 ties legal obligation to processing ('To comply with the law or legal orders and protect the safety, rights, property, or security...'). Both are explicit, processing-tied legal bases from the enumerated list (consent, legal obligation).
Evidence refs: policy_surface_5ec8250f</x:t>
  </x:si>
  <x:si>
    <x:t xml:space="preserve">Fable 5 seed — Processing-tied legal bases appear in the retained notice. Evidence: disclosure "when you provide us your consent to do so" (Section 3) and processing "To comply with the law or legal orders" (Section 2) (policy_surface_5ec8250f). Reasoning: Consent and legal obligation are explicitly tied to specific processing, satisfying the topic's intent even though the fuller GDPR supplement (linked, unretained) likely elaborates. Disagreement: Mini/Sol treat these as incidental mentions; Sonnet's reading that they are enumerated bases tied to processing is the more practical one.</x:t>
  </x:si>
  <x:si>
    <x:t xml:space="preserve">certscore-20260630</x:t>
  </x:si>
  <x:si>
    <x:t xml:space="preserve">The retained policy’s analytics-preference controls align with retained runtime evidence showing accept, reject, and manage-preferences controls on the consent surface. The runtime also shows pre-consent tracking, but the policy/runtime consistency topic is still observed because the retained evidence includes both policy and runtime anchors for comparison.
Retained evidence:
• Policy: "Users can reject optional analytics from the consent surface and can review or change analytics preferences from the Cookie preferences link in the site footer."
• Runtime: "acceptControlObserved":true,"managePreferencesControlObserved":true,"rejectControlObserved":true,"visibleChoiceLabels":["Cookie settings","Reject analytics","Allow analytics"]
Evidence refs: policy_surface_b12224f0
Reason codes: CONSENT_UI_PRESENT, POLICY_AND_RUNTIME_BOTH_RETAINED
Mini confidence: 88%</x:t>
  </x:si>
  <x:si>
    <x:t xml:space="preserve">conflicting</x:t>
  </x:si>
  <x:si>
    <x:t xml:space="preserve">The policy states that optional analytics and session-insight tools are intended to run only after analytics consent, while retained runtime context reports pre-consent tracking. This is a material policy/runtime tension. Confidence is moderated because the retained runtime context does not identify the pre-consent tracking endpoint or establish that it was Google Analytics, Microsoft Clarity, or another policy-covered optional analytics tool.
Retained evidence:
• Users can reject optional analytics from the consent surface and can review or change analytics preferences from the Cookie preferences link in the site footer.
• "visibleChoiceLabels":["Cookie settings","Reject analytics","Allow analytics"]
Evidence refs: policy_surface_b12224f0, runtimeContext.preconsent, runtimeContext.consentUi
Reason codes: POLICY_REQUIRES_CONSENT_FOR_OPTIONAL_ANALYTICS, RUNTIME_PRECONSENT_TRACKING_FLAG_PRESENT, RUNTIME_TRACKING_IDENTITY_NOT_RETAINED, NO_PRECONSENT_THIRD_PARTY_COOKIE_OBSERVED
5.6 Sol confidence: 82%</x:t>
  </x:si>
  <x:si>
    <x:t xml:space="preserve">Policy states optional analytics (Google Analytics, Microsoft Clarity) are intended to run only after consent, with accept/reject controls present per runtimeContext.consentUi[0]. However, retained runtime signals are thin and internally inconsistent for a reliable comparison: preconsent.preConsentTrackingObserved is true, yet thirdPartyVendorsObserved and thirdPartyCookiesPreConsentObserved are both false, and journeySummary shows vendorJourneyCount, trackerJourneyCount, and cookieJourneyCount all at 0 despite endpointJourneyCount/activeCollectionJourneyCount of 4. The single identified runtime vendor (Google Static Assets, gstatic.com hostnames) is classified as 'infrastructure' purpose, not analytics/tracking, so it does not itself cont…
Evidence refs: runtimeContext.preconsent, runtimeContext.consentUi[0], runtimeContext.trackerVendors[0], policy_surface_b12224f0#section-8</x:t>
  </x:si>
  <x:si>
    <x:t xml:space="preserve">Fable 5 seed — Policy and runtime align on the consent surface with no established contradiction. Evidence: policy describes accept/reject/manage analytics controls; runtime confirms all three ("Reject analytics","Allow analytics","Cookie settings"). Reasoning: The retained anchors match; the lone preConsentTracking flag is unidentified (thirdPartyVendors/thirdPartyCookiesPreConsent both false, tracker/cookie journeys 0) and cannot be tied to any policy-covered analytics tool, so it is a review footnote rather than a conflict. Disagreement: Sol's conflicting rests on that unattributed flag; Sonnet's insufficient understates the clean, retained policy-runtime match on consent controls.</x:t>
  </x:si>
  <x:si>
    <x:t xml:space="preserve">cnn-20260629</x:t>
  </x:si>
  <x:si>
    <x:t xml:space="preserve">The policy describes recording user interactions for diagnosis/improvement, and runtime evidence shows pre-consent tracking, third-party vendors, and consent UI controls. No material contradiction is retained.
Retained evidence:
• Policy: "We use these recordings to diagnose issues and identify areas for improvement and further engagement."
• Runtime: "preConsentTrackingObserved":true
Evidence refs: policy_surface_96ce8a40, policy_surface_38ed1769
Reason codes: POLICY_AND_RUNTIME_BOTH_SHOW_TRACKING_AND_CONSENT_UI
Mini confidence: 84%</x:t>
  </x:si>
  <x:si>
    <x:t xml:space="preserve">Runtime evidence reports third-party vendors and pre-consent tracking, while the retained policy generally discloses service-provider collection and interaction recording. The retained policy is incomplete and lacks enough cookie, vendor, and consent-timing detail to establish either material consistency or disagreement.
Retained evidence:
• In collecting Information about your use of a Digital Service, we may use service providers or other solutions to record users’ interactions with our Sites, which may include mouse clicks, mouse movements, page scrolling, and keystrokes/key touches during those sessions.
Evidence refs: policy_surface_96ce8a40, policy_surface_38ed1769
Reason codes: RUNTIME_PRECONSENT_TRACKING_OBSERVED, POLICY_DISCLOSES_INTERACTION_RECORDING, INCOMPLETE_POLICY_CAPTURE, CONSENT_TIMING_NOT_COMPARABLE
5.6 Sol confidence: 92%</x:t>
  </x:si>
  <x:si>
    <x:t xml:space="preserve">Retained policy text frames use of information as consent-contingent ('by providing your information or otherwise interacting with our Services, you or your adult consent to our use of your information'). Retained runtime evidence shows runtimeContext.preconsent.preConsentTrackingObserved=true and thirdPartyVendorsObserved=true (third-party trackers active before any consent interaction), while runtimeContext.consentUi shows only 'Accept All' and 'Show Purposes' controls with rejectControlObserved=false (no symmetric reject option). This is a material, factual contradiction between the policy's consent-gated framing and the observed pre-consent tracking behavior.
Evidence refs: policy_surface_96ce8a40, policy_surface_38ed1769, evidence.runtimeContext.preconsent.preConsentTrackingObserved, evidence.runtimeContext.preconsent.thirdPartyVendorsObserved, evidence.runtimeContext.consentUi</x:t>
  </x:si>
  <x:si>
    <x:t xml:space="preserve">Fable 5 seed — Disclosed tracking matches observed tracking; no gating promise is contradicted. Evidence: policy discloses recording of user interactions and sharing with service providers (policy_surface_96ce8a40/38ed1769); runtime shows tracking, vendors, and a consent UI. Reasoning: The "by providing your information... you consent" clause is implied-consent framing, not an affirmative gate, so pre-consent tracking is consistent with the retained representations. Disagreement: Sonnet's conflicting builds a consent gate the text never promises; noted for follow-up: rejectControlObserved=false is a signal worth a human look.</x:t>
  </x:si>
  <x:si>
    <x:t xml:space="preserve">lufthansa-20260626</x:t>
  </x:si>
  <x:si>
    <x:t xml:space="preserve">The policy and runtime evidence are consistent in showing Cloudflare-related security processing, with no material disagreement in the retained packet.
Retained evidence:
• Policy: "We work with other companies who provide us with services that help run our business and the Cloudflare Service (“Service Providers”)."
• Runtime: "trackerVendors":[{"confidence":0.93,"matchedCookieNames":["__cf_bm"],"matchedHostnames":["www.lufthansa.com",".www.lufthansa.com"],"product":"Cloudflare Bot Management","purpose":"security","vendor":"Cloudflare"}]
Evidence refs: policy_surface_f7d5c152
Reason codes: POLICY_AND_RUNTIME_BOTH_SHOW_CLOUDFLARE_SECURITY_COOKIE
Mini confidence: 90%</x:t>
  </x:si>
  <x:si>
    <x:t xml:space="preserve">The retained policy defines its covered Websites as Cloudflare-operated sites and expressly excludes customer-owned sites, while all retained runtime cookie evidence comes from lufthansa.com. This material scope mismatch prevents treating the runtime behavior as behavior of a website covered by the reviewed policy.
Retained evidence:
• CONFLICT: Policy: “For clarity, ‘Websites’ does not include any sites owned or operated by our Customers, including where we serve as Registrar.”
• CONFLICT: Runtime: cookie “__cf_bm” was observed on “www.lufthansa.com” and “.www.lufthansa.com”.
Evidence refs: policy_surface_f7d5c152
Reason codes: POLICY_RUNTIME_SCOPE_MISMATCH, RUNTIME_HOST_NOT_POLICY_HOST, CUSTOMER_SITES_EXPRESSLY_EXCLUDED
5.6 Sol confidence: 97%</x:t>
  </x:si>
  <x:si>
    <x:t xml:space="preserve">No Lufthansa-specific policy or cookie-disclosure text is retained to compare against the observed runtime evidence (the __cf_bm security cookie and a likely-present but unconfirmed consent banner with no accept/reject controls observed). The only retained document concerns an unrelated third party's (Cloudflare) own privacy policy, so a reliable policy-versus-runtime comparison for Lufthansa cannot be made from this packet.
Evidence refs: policy_surface_f7d5c152, runtimeContext.cookies[0], runtimeContext.consentUi[0]</x:t>
  </x:si>
  <x:si>
    <x:t xml:space="preserve">High</x:t>
  </x:si>
  <x:si>
    <x:t xml:space="preserve">Fable 5 seed — Strong exception retained: the only policy captured is Cloudflare's, not Lufthansa's. Evidence: policy_surface_f7d5c152 states "'Websites' does not include any sites owned or operated by our Customers"; runtime __cf_bm sits on www.lufthansa.com. Reasoning: A policy/runtime comparison for Lufthansa is impossible when no Lufthansa policy representation exists — a final-sounding call here would be false precision. Disagreement: Sol's conflicting mislabels a wrong-document capture as a scope conflict; Mini compares runtime to a policy that does not govern the scanned site.</x:t>
  </x:si>
  <x:si>
    <x:t xml:space="preserve">nbcnews-20260626</x:t>
  </x:si>
  <x:si>
    <x:t xml:space="preserve">The retained policy references UK and EU representatives and EEA/UK/Switzerland contact handling, which is evidence of cross-border privacy governance, though not a transfer mechanism statement.
Retained evidence:
• "The UK Representative of our US-based NBCUniversal entities is NBCUniversal International Limited, 1 Central St Giles, St Giles High Street, London WC2H 8NU, United Kingdom. The EU Representative ... Amsterdam, The Netherlands."
• "For inquiries from users who reside in the European Economic Area, the United Kingdom or Switzerland, please contact us at ... London, WC2H 8NU, UK"
Evidence refs: policy_surface_228175e7
Reason codes: CROSS_BORDER_CONTACTS_OR_REPRESENTATIVES
Mini confidence: 91%</x:t>
  </x:si>
  <x:si>
    <x:t xml:space="preserve">No retained passage substantively explains international transfers, destination countries, or transfer safeguards. The main Privacy Policy capture is incomplete, and representative contact details and the IAB framework statement are not international-transfer evidence, so absence cannot be established with sufficient coverage.
Evidence refs: policy_surface_228175e7, policy_surface_44827012
Reason codes: NO_SUBSTANTIVE_TRANSFER_PASSAGE_RETAINED, MAIN_POLICY_CAPTURE_INCOMPLETE, REPRESENTATIVE_CONTACT_NOT_TRANSFER_EVIDENCE, CONSENT_FRAMEWORK_NOT_TRANSFER_EVIDENCE
5.6 Sol confidence: 90%</x:t>
  </x:si>
  <x:si>
    <x:t xml:space="preserve">Despite full retained privacy-policy, cookie-notice, and terms text (which does cover UK/EU/German representative contacts and a Japan joint-use provision), no retained document describes cross-border transfer destinations, circumstances, or mechanisms (e.g., SCCs, adequacy, consent-based transfer). Coverage of the policy corpus is sufficient to conclude the disclosure is absent rather than merely unretrieved.
Evidence refs: policy_surface_228175e7, policy_surface_d3839543, policy_surface_44827012</x:t>
  </x:si>
  <x:si>
    <x:t xml:space="preserve">Fable 5 seed — Transfer disclosures are absent from a substantially retained corpus. Evidence: privacy policy, cookie notice, and terms (policy_surface_228175e7, d3839543, 44827012) include UK/EU representatives and a Japan joint-use provision but no destinations, circumstances, or mechanisms. Reasoning: Representative contacts are governance signals, not transfer disclosures; the corpus depth supports concluding the disclosure is absent rather than unretrieved. Disagreement: Mini counts representative contacts as transfer evidence; Sol's coverage doubt is noted but the breadth of retained documents favors the final call.</x:t>
  </x:si>
  <x:si>
    <x:t xml:space="preserve">numastays-20260626</x:t>
  </x:si>
  <x:si>
    <x:t xml:space="preserve">The policy contains general cookie and processing disclosures, while runtime evidence shows specific cookies and third-party/pre-consent tracking activity. No direct contradiction is retained in the captured materials.
Retained evidence:
• Policy: "for cookies that are necessary for the technical operation of our applications."
• Policy: "We detail the scope of data processing, processing purposes and legal bases below."
Evidence refs: policy_surface_365f869c, policy_surface_b056619b
Reason codes: POLICY_AND_RUNTIME_BOTH_PRESENT, RUNTIME_COOKIE_IDENTIFIERS_PRESENT
Mini confidence: 84%</x:t>
  </x:si>
  <x:si>
    <x:t xml:space="preserve">Runtime evidence reports third-party vendors and pre-consent tracking, but the retained privacy-policy text is visibly fragmented and incomplete around vendor-specific sections. The capture therefore does not support a reliable consistency or conflict assessment for the observed runtime technologies.
Retained evidence:
• "preConsentTrackingObserved":true
• "thirdPartyVendorsObserved":true
Evidence refs: policy_surface_365f869c
Reason codes: RUNTIME_TRACKING_EVIDENCE_AVAILABLE, POLICY_CAPTURE_FRAGMENTED, CONSISTENCY_ASSESSMENT_BLOCKED_BY_INCOMPLETE_CAPTURE
5.6 Sol confidence: 93%</x:t>
  </x:si>
  <x:si>
    <x:t xml:space="preserve">The retained policy ties non-essential/consent-dependent processing to Art. 6(1)(a) consent and limits legitimate-interest cookie processing to technically necessary cookies. Retained runtime evidence shows a consent banner is present (Consentmanager CMP, consentBannerLikelyPresent true) yet preConsentTrackingObserved is true and thirdPartyVendorsObserved is true, with advertising/analytics vendors (Google Ads/DoubleClick, Google Analytics, Klaviyo) detected and an activeCollectionJourneyCount of 16 out of 67 journeys prior to a registered consent choice (rejectControlObserved false). This is a material, retained contradiction between the policy's consent-gated framing and the observed pre-consent activity of non-essential vendors.
Evidence refs: runtimeContext.preconsent, runtimeContext.consentUi, runtimeContext.trackerVendors, policy_surface_365f869c</x:t>
  </x:si>
  <x:si>
    <x:t xml:space="preserve">Fable 5 seed — Strong retained contradiction on consent gating. Evidence: policy ties consent-dependent processing to Art. 6(1)(a) and limits legitimate interest to technically necessary cookies (policy_surface_365f869c); runtime shows preConsentTrackingObserved=true, thirdPartyVendorsObserved=true, ad/analytics vendors (Google Ads/DoubleClick, GA, Klaviyo) active pre-consent with a Consentmanager CMP present. Reasoning: Both the gating representation and the contradicting behavior are retained — the paradigm conflicting case. Disagreement: Mini's observed ignores the pre-consent activity; Sol's fragmentation concern moderates confidence but not the finding.</x:t>
  </x:si>
  <x:si>
    <x:t xml:space="preserve">sega-20260626</x:t>
  </x:si>
  <x:si>
    <x:t xml:space="preserve">The policy expressly references transfer safeguards and disclosures to group companies and other recipients, plus transfer in business transactions.
Retained evidence:
• "We or our service providers may disclose the information we collect about you (subject to legally required security, contractual and transfer safeguards)."
• "We may disclose your personal information to: (a) SEGA companies within the wider SEGA Group; (b) Service providers; (c) Platform Operators; ..."
Evidence refs: policy_surface_a139c595
Reason codes: TRANSFER_SAFEGUARDS_EXPRESSLY_LISTED, CROSS_ENTITY_DISCLOSURE
Mini confidence: 95%</x:t>
  </x:si>
  <x:si>
    <x:t xml:space="preserve">The retained text mentions transfer safeguards, but does not clearly describe cross-border processing, destination countries, transfer mechanisms, or an international-transfer framework. The second passage concerns a business-asset transfer rather than clearly addressing an international transfer. Because the privacy-policy capture is incomplete, substantive international-transfer language may be missing.
Retained evidence:
• We or our service providers may disclose the information we collect about you (subject to legally required security, contractual and transfer safeguards).
• If such transfer is subject to any mandatory restrictions under applicable laws, we will comply with those restrictions.
Evidence refs: policy_surface_a139c595
Reason codes: GENERIC_TRANSFER_SAFEGUARDS_ONLY, BUSINESS_TRANSFER_NOT_CROSS_BORDER_EVIDENCE, PRIVACY_POLICY_CAPTURE_INCOMPLETE
5.6 Sol confidence: 86%</x:t>
  </x:si>
  <x:si>
    <x:t xml:space="preserve">Retained privacy-policy text substantially covers disclosure practices, contact details, and international offices (SEGA Europe Limited UK representative; EEA/UK supervisory-authority referral for complaints) but contains no discussion of transfer destinations, circumstances, or mechanisms (e.g., SCCs, adequacy decisions). No obsolete or current transfer-framework claims appear anywhere in the retained evidence, so none is observed despite adequate coverage of the surrounding sections.
Evidence refs: policy_surface_a139c595</x:t>
  </x:si>
  <x:si>
    <x:t xml:space="preserve">Fable 5 seed — The policy discloses transfers subject to safeguards, meeting the topic's intent. Evidence: disclosures "subject to legally required security, contractual and transfer safeguards" plus sharing across the wider SEGA Group and "If such transfer is subject to any mandatory restrictions under applicable laws, we will comply" (policy_surface_a139c595). Reasoning: The policy acknowledges cross-entity transfers and commits to safeguards/legal restrictions — a transfer disclosure in substance, though without named mechanisms or destinations (flagged for the reviewer). Disagreement: Sonnet/Sol's stricter mechanism bar would leave a genuine, if thin, disclosure uncredited.</x:t>
  </x:si>
  <x:si>
    <x:t xml:space="preserve">volkswagen-20260626</x:t>
  </x:si>
  <x:si>
    <x:t xml:space="preserve">Retained policy text contains substantive purpose-like statements tied to newsletter signup, reservation/payment flow, and presenting current models. These are directly relevant processing-purpose passages rather than mere disclosure-shaped headings.
Retained evidence:
• "Entdecke den neuen ID.3 Neo und melde dich zum Newsletter an um keine weiteren Infos zu verpassen."
• "Sichere dir jetzt mit nur wenigen Klicks deinen ID. Polo ... hinterlege die Reservierungsgebühr von € 250,- bequem per Kreditkarte, Apple Pay oder Google Pay."
Evidence refs: policy_surface_8e5890bd_privacy_alias, policy_surface_dcd6ac83_privacy_alias, policy_surface_9bb50c6, policy_surface_65f97419, policy_surface_629365bf, policy_surface_95be159c
Reason codes: PURPOSE_MARKETING_NEWSLETTER, PURPOSE_TRANSACTIONAL_RESERVATION, PURPOSE_PRODUCT_SHOWCASE
Mini confidence: 93%</x:t>
  </x:si>
  <x:si>
    <x:t xml:space="preserve">The retained text contains marketing calls to action but no substantive privacy-policy explanation of personal-data processing purposes. Because all candidate privacy surfaces captured non-policy content, policy coverage is insufficient.
Retained evidence:
• [Der neue ID.3 Neo]
Entdecke den neuen ID.3 Neo und melde dich zum Newsletter an um keine weiteren Infos zu verpassen.
• Sichere dir jetzt mit nur wenigen Klicks deinen ID. Polo ab € 19.990,- 4 . Wähle einfach deine Wunschvariante, entscheide dich für einen Volkswagen Partner und hinterlege die Reservierungsgebühr von € 250,- bequem per Kreditkarte, Apple Pay oder Google Pay.
Evidence refs: policy_surface_8e5890bd_privacy_alias, policy_surface_dcd6ac83_privacy_alias, policy_surface_9bb50c6, policy_surface_65f97419, policy_surface_629365bf, policy_surface_95be159c
Reason codes: MARKETING_CALL_TO_ACTION_NOT_POLICY_DISCLOSURE, PRIVACY_SURFACE_CAPTURED_NON_POLICY_CONTENT, INCOMPLETE_POLICY_COVERAGE
5.6 Sol confidence: 98%</x:t>
  </x:si>
  <x:si>
    <x:t xml:space="preserve">All six retained documents, despite privacy-policy URLs/labels, contain only marketing/vehicle-pricing copy (model names, prices, configurator links). None contains any purpose-specific processing language. The documents are full-length and non-truncated, giving sufficient coverage to conclude this topic is not addressed in retained evidence.
Evidence refs: policy_surface_8e5890bd_privacy_alias, policy_surface_dcd6ac83_privacy_alias, policy_surface_9bb50c6, policy_surface_65f97419, policy_surface_629365bf, policy_surface_95be159c</x:t>
  </x:si>
  <x:si>
    <x:t xml:space="preserve">Fable 5 seed — No processing-purpose disclosure exists in the captured surfaces. Evidence: all six privacy-labeled documents are full-length vehicle-marketing pages (ID.3 Neo newsletter, ID. Polo reservation) with zero purpose language. Reasoning: Taking the retained corpus at face value, the topic is simply not addressed — Sonnet's position. Caveat for follow-up: all six privacy URLs resolving to marketing pages suggests a capture routing problem, so a re-scan is advisable. Disagreement: Mini reads marketing calls-to-action as purposes, a keyword-level error.</x:t>
  </x:si>
  <x:si>
    <x:t xml:space="preserve">Runtime evidence names third-party vendors/products in the CMP and tracker context. This is a vendor disclosure signal, though the retained policy text itself is not the basis for the observation.
Retained evidence:
• "OneTrust CMP"
• "Google Tag Manager"
Evidence refs: policy_surface_8e5890bd_privacy_alias, policy_surface_dcd6ac83_privacy_alias, policy_surface_9bb50c6, policy_surface_65f97419, policy_surface_629365bf, policy_surface_95be159c
Reason codes: VENDOR_NAME_OBSERVED
Mini confidence: 89%</x:t>
  </x:si>
  <x:si>
    <x:t xml:space="preserve">Apple Pay and Google Pay appear only as payment options, not as substantive data-sharing disclosures. Runtime identifies Google and OneTrust, but no usable policy text was retained to assess vendor disclosures.
Retained evidence:
• hinterlege die Reservierungsgebühr von € 250,- bequem per Kreditkarte, Apple Pay oder Google Pay.
• [runtimeContext.trackerVendors] "product":"Google Tag Manager","purpose":"tag_management","vendor":"Google"
Evidence refs: policy_surface_8e5890bd_privacy_alias, policy_surface_dcd6ac83_privacy_alias, policy_surface_9bb50c6, policy_surface_65f97419, policy_surface_629365bf, policy_surface_95be159c
Reason codes: SERVICE_NAME_NOT_VENDOR_DATA_DISCLOSURE, RUNTIME_VENDOR_SIGNALS_RETAINED, PRIVACY_SURFACE_CAPTURED_NON_POLICY_CONTENT, INCOMPLETE_POLICY_COVERAGE
5.6 Sol confidence: 99%</x:t>
  </x:si>
  <x:si>
    <x:t xml:space="preserve">Retained documents name no processors, vendors, recipients, or recipient categories; the only third-party-related retained evidence is in runtimeContext.trackerVendors (Google Tag Manager, OneTrust), which is runtime telemetry, not a policy vendor disclosure.
Evidence refs: policy_surface_8e5890bd_privacy_alias, policy_surface_dcd6ac83_privacy_alias, policy_surface_9bb50c6, policy_surface_65f97419, policy_surface_629365bf, policy_surface_95be159c</x:t>
  </x:si>
  <x:si>
    <x:t xml:space="preserve">Fable 5 seed — No vendor/processor disclosure appears in the retained documents. Evidence: six marketing-content surfaces name no processors or recipient categories; OneTrust and Google Tag Manager appear only in runtime telemetry. Reasoning: Within the retained corpus the disclosure is absent; runtime vendor detection is not a policy disclosure. Same re-scan caveat as row 9. Disagreement: Mini's observed substitutes telemetry for disclosure.</x:t>
  </x:si>
  <x:si>
    <x:t xml:space="preserve">w3-20260614</x:t>
  </x:si>
  <x:si>
    <x:t xml:space="preserve">The retained page contains a substantive privacy-purpose statement describing W3C's approach to privacy on the web and its goal of protecting user privacy.
Retained evidence:
• "Creating a more trustworthy web and protecting user privacy is fundamental to creating a web that works — for everyone."
• "How W3C approaches privacy on the web"
Evidence refs: policy_surface_4437db21
Reason codes: PURPOSE_STATEMENT
Mini confidence: 86%</x:t>
  </x:si>
  <x:si>
    <x:t xml:space="preserve">The quoted mission-level statement concerns privacy generally and is not a substantive disclosure of purposes for processing personal data. The runtime cookie-purpose label does not cure the incomplete policy capture.
Retained evidence:
• Creating a more trustworthy web and protecting user privacy is fundamental to creating a web that works — for everyone.
Evidence refs: policy_surface_4437db21
Reason codes: GENERAL_PRIVACY_STATEMENT_ONLY, NO_SUBSTANTIVE_PROCESSING_PURPOSE_PASSAGE, PARTIAL_POLICY_CAPTURE
5.6 Sol confidence: 97%</x:t>
  </x:si>
  <x:si>
    <x:t xml:space="preserve">The only retained document (policy_surface_4437db21) is a mission-statement excerpt describing W3C's general approach to privacy on the web ('creating a more trustworthy web and protecting user privacy'). This is aspirational/mission framing, not purpose-specific processing language explaining why personal data is collected or used. No processing purposes are substantively disclosed.
Evidence refs: policy_surface_4437db21</x:t>
  </x:si>
  <x:si>
    <x:t xml:space="preserve">Fable 5 seed — No purpose-specific processing language in the retained document. Evidence: policy_surface_4437db21 is mission framing ("Creating a more trustworthy web and protecting user privacy..."). Reasoning: Aspirational language is not a purposes disclosure; taking the capture as given, the topic is unaddressed. Caveat: the governing W3C privacy notice was likely not this page, so a targeted re-capture would firm this up. Disagreement: Mini mistakes mission text for purposes; Sol's insufficient is defensible but less final than the evidence allows.</x:t>
  </x:si>
  <x:si>
    <x:t xml:space="preserve">2-model majority</x:t>
  </x:si>
  <x:si>
    <x:t xml:space="preserve">ambiguous
(Mini + Sol)</x:t>
  </x:si>
  <x:si>
    <x:t xml:space="preserve">A generic reference to retaining data does not establish a retention period or substantive retention criteria.
Reason codes: generic_retention_mention_without_period_or_criteria
Mini confidence: 80%</x:t>
  </x:si>
  <x:si>
    <x:t xml:space="preserve">A generic reference to retaining data does not establish a retention period or substantive retention criteria.
Reason codes: generic_retention_mention_without_period_or_criteria
5.6 Sol confidence: 80%</x:t>
  </x:si>
  <x:si>
    <x:t xml:space="preserve">No retention period or substantive retention criteria appear in the retained text. The only retention-adjacent statement ("When you update information, we usually keep a copy of the prior version for our records") addresses version history, not a general retention period or deletion schedule for personal data.
Evidence refs: policy_surface_b27095be, policy_surface_777bee15</x:t>
  </x:si>
  <x:si>
    <x:t xml:space="preserve">bbc-20260611</x:t>
  </x:si>
  <x:si>
    <x:t xml:space="preserve">insufficient_retained_evidence
(Sol + Sonnet)</x:t>
  </x:si>
  <x:si>
    <x:t xml:space="preserve">The retained policy text shows section headings indicating a use/purpose section, but the capture is truncated and does not provide substantive processing-purpose details. This is only weak evidence of a processing-purposes section, not a full purpose statement.
Retained evidence:
• "1. WHAT THIS POLICY COVERS 2. HOW WE COLLECT INFORMATION ABOUT YOU 3. HOW WE USE YOUR INFORMATION 4. WHEN WE SHARE"
Evidence refs: policy_surface_7bbab3c1
Reason codes: POLICY_HEADING_ONLY_PARTIAL, INSUFFICIENT_SUBSTANTIVE_PURPOSE_TEXT
Mini confidence: 78%</x:t>
  </x:si>
  <x:si>
    <x:t xml:space="preserve">The retained text contains only general notice language and a section heading. Neither is a directly relevant substantive passage describing processing purposes, and the truncated capture prevents a reliable absence finding.
Retained evidence:
• We may also provide additional notices to provide more information about what we will do with your information.
• 3. HOW WE USE YOUR INFORMATION
Evidence refs: policy_surface_7bbab3c1
Reason codes: PRIVACY_POLICY_CAPTURE_TRUNCATED, HEADING_ONLY_NOT_SUBSTANTIVE, GENERAL_NOTICE_LANGUAGE_NOT_SUBSTANTIVE
5.6 Sol confidence: 98%</x:t>
  </x:si>
  <x:si>
    <x:t xml:space="preserve">The only retained policy document is a short introductory fragment ending at a table-of-contents listing ('3. HOW WE USE YOUR INFORMATION'). No body text under that heading was retained, so purpose-specific processing language cannot be evaluated.
Evidence refs: policy_surface_7bbab3c1</x:t>
  </x:si>
  <x:si>
    <x:t xml:space="preserve">Fable 5 seed — Strong exception: the capture ends at the table of contents. Evidence: policy_surface_7bbab3c1 truncates at "3. HOW WE USE YOUR INFORMATION" with no body text. Reasoning: The heading proves a purposes section exists in the real document, so calling it not-observed would be affirmatively wrong, and no substantive text exists to observe — the truncation is the whole story. Disagreement: Mini's weak observed rests on a heading; a heading is not a disclosure.</x:t>
  </x:si>
  <x:si>
    <x:t xml:space="preserve">insufficient_retained_evidence
(Mini + Sol)</x:t>
  </x:si>
  <x:si>
    <x:t xml:space="preserve">The excerpt points to California-specific information, but no actual rights list, request methods, or rights descriptions are retained.
Retained evidence:
• "If you are a California resident, see here for our California Notice at Collection and information provided pursuant to the California Consumer Privacy Act."
Evidence refs: policy_surface_7bbab3c1
Reason codes: RIGHTS_LANGUAGE_NOT_RETAINED, TRUNCATED_POLICY_CAPTURE
Mini confidence: 24%</x:t>
  </x:si>
  <x:si>
    <x:t xml:space="preserve">The only potentially rights-related language begins mid-word and lacks an identifiable right, procedure, or substantive explanation. The incomplete policy capture prevents an absence finding.
Retained evidence:
• ion to the personal information we hold about you.
Evidence refs: policy_surface_7bbab3c1
Reason codes: PRIVACY_POLICY_CAPTURE_TRUNCATED, RIGHTS_FRAGMENT_INCOMPLETE
5.6 Sol confidence: 96%</x:t>
  </x:si>
  <x:si>
    <x:t xml:space="preserve">The fragment opens mid-sentence with '...ion to the personal information we hold about you,' which may be the tail end of a right-of-access clause, but the truncation removes the operative phrase, preventing confirmation of a substantive rights disclosure (access, correction, deletion, etc.).
Evidence refs: policy_surface_7bbab3c1</x:t>
  </x:si>
  <x:si>
    <x:t xml:space="preserve">Fable 5 seed — Strong exception: the rights passage truncates mid-word. Evidence: "...ion to the personal information we hold about you" (policy_surface_7bbab3c1). Reasoning: The fragment is almost certainly the tail of an access-rights clause; declaring rights either present or absent from a mid-word cut would be invention. Disagreement: Sonnet's ambiguous is close, but the defect is missing text, not interpretive doubt.</x:t>
  </x:si>
  <x:si>
    <x:t xml:space="preserve">Runtime cookie names cannot establish policy inventory coverage, and a sufficiently complete dedicated cookie-policy inventory was not retained.
Reason codes: deterministic_named_cookie_inventory_required, dedicated_cookie_inventory_coverage_not_retained
Mini confidence: 75%</x:t>
  </x:si>
  <x:si>
    <x:t xml:space="preserve">Runtime cookie names cannot establish policy inventory coverage, and a sufficiently complete dedicated cookie-policy inventory was not retained.
Reason codes: deterministic_named_cookie_inventory_required, dedicated_cookie_inventory_coverage_not_retained
5.6 Sol confidence: 75%</x:t>
  </x:si>
  <x:si>
    <x:t xml:space="preserve">Retained runtime evidence includes a granular, named-cookie inventory with domains and parties: e.g. DotMetrics.DeviceKey/UniqueUserIdentityCookie (dotmetrics.net), IMRID (imrworldwide.com), UID/XID (scorecardresearch.com), __cf_bm (piano.io), test_cookie/IDE (doubleclick.net), gckp (cxense.com), ch_sid/JSESSIONID (piano.io/dashboard-eu.piano.io) — well beyond category-only description.
Evidence refs: runtimeContext.cookies[0], runtimeContext.cookies[2], runtimeContext.cookies[3], runtimeContext.cookies[5], runtimeContext.cookies[6], runtimeContext.cookies[9], runtimeContext.cookies[14], runtimeContext.cookies[17]</x:t>
  </x:si>
  <x:si>
    <x:t xml:space="preserve">Fable 5 seed — The retained evidence lists identifiable cookie names, satisfying the named-inventory rule as written. Evidence: runtimeContext names DotMetrics.DeviceKey, IMRID, UID/XID, __cf_bm, test_cookie/IDE, gckp, ch_sid/JSESSIONID with domains. Reasoning: The rule counts an inventory when retained evidence actually lists identifiable cookie names; the runtime record does, granularly. Caveat: the policy-side Cookies Notice was not retained, so disclosed-inventory completeness is unverified. Disagreement: Mini/Sol exclude runtime names categorically, a stricter reading than the rule requires.</x:t>
  </x:si>
  <x:si>
    <x:t xml:space="preserve">The policy excerpt references a Cookies Notice, and the runtime packet shows pre-consent tracking and third-party cookies. The retained evidence is limited, but there is no direct contradiction in the captured materials.
Retained evidence:
• "For example, our Cookies Notice explains how we use web technologies such as cookies."
• CONFLICT: "Sourcepoint CMP"
Evidence refs: policy_surface_7bbab3c1
Reason codes: POLICY_MENTIONS_COOKIES_NOTICE, RUNTIME_SHOWS_PRECONSENT_TRACKING
Mini confidence: 84%</x:t>
  </x:si>
  <x:si>
    <x:t xml:space="preserve">Runtime evidence shows pre-consent tracking and third-party cookies, while the retained policy fragment only points generally to a separate Cookies Notice. That notice and the substantive cookie disclosures were not retained, so policy/runtime agreement or disagreement cannot be assessed.
Retained evidence:
• For example, our Cookies Notice explains how we use web technologies such as cookies.
• "preConsentTrackingObserved":true,"thirdPartyCookiesPreConsentObserved":true
Evidence refs: policy_surface_7bbab3c1
Reason codes: COOKIE_NOTICE_NOT_RETAINED, PRIVACY_POLICY_CAPTURE_TRUNCATED, RUNTIME_TRACKING_OBSERVED_WITHOUT_COMPARABLE_POLICY_DETAIL
5.6 Sol confidence: 99%</x:t>
  </x:si>
  <x:si>
    <x:t xml:space="preserve">The retained policy text lacks any substantive cookie, sharing, or vendor disclosure content (it cuts off before those sections' bodies), so it cannot be reliably compared against the retained runtime evidence showing an active CMP, extensive third-party cookies, and multiple tracker vendors.
Evidence refs: policy_surface_7bbab3c1, runtimeContext.cmp[0], runtimeContext.trackerVendors</x:t>
  </x:si>
  <x:si>
    <x:t xml:space="preserve">not_observed_with_sufficient_coverage
(Sol + Sonnet)</x:t>
  </x:si>
  <x:si>
    <x:t xml:space="preserve">The retained privacy notice provides broad coverage of collection, use, sharing, transfers, security, children, and preferences, but does not state a general retention period, retention criteria, or deletion schedule. The statement that Caltech does not knowingly store children's information is a scope-specific collection/storage limitation rather than a general retention disclosure.
Evidence refs: policy_surface_5ec8250f
Reason codes: GENERAL_RETENTION_PERIOD_NOT_FOUND, RETENTION_CRITERIA_NOT_FOUND, RELEVANT_POLICY_RETAINED_WITH_SUFFICIENT_COVERAGE
5.6 Sol confidence: 88%</x:t>
  </x:si>
  <x:si>
    <x:t xml:space="preserve">The retained policy text spans all ten numbered sections with full coverage of collection, use, sharing, transfers, security, and children's-data topics, yet contains no retention period and no retention criteria anywhere; retention is never addressed, not even in generic 'as long as necessary' terms.
Evidence refs: policy_surface_5ec8250f</x:t>
  </x:si>
  <x:si>
    <x:t xml:space="preserve">Fable 5 seed — Retention is genuinely absent from a fully captured notice. Evidence: policy_surface_5ec8250f spans all ten sections with no retention period or criteria anywhere, not even 'as long as necessary'. Reasoning: Adequate coverage plus absent disclosure is the definition of this category. Disagreement: Mini's template ambiguous presumes a generic retention mention that is not in the retained text.</x:t>
  </x:si>
  <x:si>
    <x:t xml:space="preserve">not_observed_with_sufficient_coverage
(Mini + Sonnet)</x:t>
  </x:si>
  <x:si>
    <x:t xml:space="preserve">The retained text includes email unsubscribe and ad opt-out references, but does not provide a sufficiently covered general rights section for access, deletion, correction, portability, restriction, or objection.
Retained evidence:
• "You may manage your preferences with respect to non-transactional emails sent by Caltech by clicking the \"unsubscribe\" link at the bottom of any such email you receive from us."
• "If you are interested in more information about interest-based advertising, or how to opt out of interest-based advertising with participating companies, you may visit the Network Advertising Initiative's Consumer Opt-Out link , the Digital Advertising Alliance's Consumer Opt-Out link , or Your Online Choices ."
Evidence refs: policy_surface_5ec8250f
Reason codes: LIMITED_OPT_OUT_ONLY
Mini confidence: 84%</x:t>
  </x:si>
  <x:si>
    <x:t xml:space="preserve">Email unsubscribe or advertising opt-out language does not establish substantive data-subject rights such as access, correction, deletion, objection, portability, or complaint rights.
Reason codes: preference_or_opt_out_language_without_substantive_rights
5.6 Sol confidence: 80%</x:t>
  </x:si>
  <x:si>
    <x:t xml:space="preserve">The retained text only points EEA/UK residents to an external, unretained GDPR rights page via a 'click here' link (Section 4) and separately offers a marketing-email unsubscribe/opt-out (Section 8). Neither is a substantive in-document disclosure of access, correction, deletion, restriction, portability, objection, or complaint rights, and an email opt-out does not establish general rights coverage per the observed standard.
Evidence refs: policy_surface_5ec8250f</x:t>
  </x:si>
  <x:si>
    <x:t xml:space="preserve">Fable 5 seed — No substantive rights disclosure in the retained notice. Evidence: in-document content is limited to email unsubscribe and ad-network opt-out links; EEA/UK users are pointed to an external GDPR page (policy_surface_5ec8250f). Reasoning: Taking the retained notice as the disclosure, access/correction/deletion/portability/objection rights are not stated — the majority's final call. Caveat: the linked GDPR page was not retained; a follow-up capture could change this. Disagreement: Sol's ambiguous adds no information the reviewer can act on.</x:t>
  </x:si>
  <x:si>
    <x:t xml:space="preserve">The policy document's own cookie section is truncated with no named list, but retained runtime evidence contains specific named cookies with domain and purpose (__cf_bm for security; _ga and _ga_7RL83EX4D4 for analytics), constituting a granular named-cookie inventory.
Evidence refs: evidence.runtimeContext.cookies[0], evidence.runtimeContext.cookies[9], evidence.runtimeContext.cookies[10]</x:t>
  </x:si>
  <x:si>
    <x:t xml:space="preserve">Fable 5 seed — Identifiable cookie names are listed in retained evidence. Evidence: __cf_bm (security), _ga and _ga_7RL83EX4D4 (analytics) with domains (runtimeContext.cookies). Reasoning: Retained evidence lists identifiable cookie names per the rule; the policy's own truncated cookie section is a completeness caveat, not a bar. Disagreement: Mini/Sol's categorical exclusion of runtime names is stricter than the rule text.</x:t>
  </x:si>
  <x:si>
    <x:t xml:space="preserve">observed
(Mini + Sol)</x:t>
  </x:si>
  <x:si>
    <x:t xml:space="preserve">The policy’s cookie/advertising language is directionally consistent with runtime observation of Cloudflare bot-management and Google Analytics cookies/vendors.
Retained evidence:
• Policy: "As explained in Section 1.2 above, we may use automated technologies like cookies that enable us and our third-party partners to deliver and measure advertisements that are tailored to your interests..."
• Runtime: "__cf_bm" observed on www.caltech.edu/resources.caltech.edu; "_ga_7RL83EX4D4" and "_ga" observed on .caltech.edu; tracker vendors included Cloudflare Bot Management and Google Analytics.
Evidence refs: policy_surface_5ec8250f
Reason codes: POLICY_MATCHES_RUNTIME_TRACKERS
Mini confidence: 90%</x:t>
  </x:si>
  <x:si>
    <x:t xml:space="preserve">Runtime observation of Google Analytics and Cloudflare Bot Management substantively aligns with the notice's disclosed analytics and security purposes. Pre-consent tracking was observed, but the retained notice does not claim that all such processing is withheld until affirmative consent, so no material contradiction is established.
Retained evidence:
• To engage in internal analytics, marketing research, auditing, and reporting;
• To secure the sites and detect fraud and illegal activity, including cyberattacks or attempts to commit identity theft;
Evidence refs: policy_surface_5ec8250f
Reason codes: ANALYTICS_POLICY_RUNTIME_ALIGNMENT, SECURITY_POLICY_RUNTIME_ALIGNMENT, NO_MATERIAL_CONTRADICTION_ESTABLISHED
5.6 Sol confidence: 91%</x:t>
  </x:si>
  <x:si>
    <x:t xml:space="preserve">The retained policy page's footer references a 'Cookie Consent' control, implying a consent-management mechanism governs tracking, but retained runtime evidence shows no consent banner or choice controls were observed at all (consentUi likelyPresent=false; accept/reject/manage controls all false; no visible choice labels), while third-party analytics and tag-management vendors (Google Analytics, Google Tag Manager) were already active pre-consent (preconsent.thirdPartyVendorsObserved=true, preConsentTrackingObserved=true). This is a material contradiction between the implied consent gate and observed runtime behavior.
Evidence refs: policy_surface_5ec8250f, evidence.runtimeContext.consentUi[0], evidence.runtimeContext.preconsent</x:t>
  </x:si>
  <x:si>
    <x:t xml:space="preserve">Fable 5 seed — Disclosed technologies match observed ones with no contradiction. Evidence: policy discloses cookies for advertising/analytics and security purposes (policy_surface_5ec8250f); runtime shows Cloudflare Bot Management and Google Analytics. Reasoning: Alignment on the retained anchors; the notice makes no consent-gating promise, so pre-consent GA is not a contradiction. Disagreement: Sonnet's conflicting hangs a consent gate on a footer link label, which is not a policy representation.</x:t>
  </x:si>
  <x:si>
    <x:t xml:space="preserve">The retained policy discusses purposes, consent for optional analytics, and safeguards, but does not provide a direct substantive passage identifying a legal basis framework such as consent, contract, legitimate interests, or similar as the basis for processing.
Retained evidence:
• "optional analytics after consent"
• "Where personal information is transferred across borders, CertScore.ai reviews vendor, contractual, security, and operational safeguards as part of service operation."
Evidence refs: policy_surface_b12224f0
Reason codes: NO_DIRECT_LEGAL_BASIS_PASSAGE
Mini confidence: 86%</x:t>
  </x:si>
  <x:si>
    <x:t xml:space="preserve">The policy directly ties optional analytics processing to consent, providing substantive evidence of a consent basis for that limited processing context. The retained text does not expressly enumerate legal bases for all other processing activities.
Retained evidence:
• Optional analytics and session-insight tools, including Google Analytics and Microsoft Clarity, are intended to run only after analytics consent is allowed.
• CertScore.ai may process usage and operational data to run the service, secure accounts, debug errors, monitor scan status, improve product reliability, measure product usage after optional analytics consent, prevent abuse, and maintain business records.
Evidence refs: policy_surface_b12224f0
Reason codes: CONSENT_BASIS_DISCLOSED_FOR_OPTIONAL_ANALYTICS, LEGAL_BASIS_DISCLOSURE_LIMITED_IN_SCOPE
5.6 Sol confidence: 83%</x:t>
  </x:si>
  <x:si>
    <x:t xml:space="preserve">No retained text ties CertScore.ai's own processing to a named legal basis (consent, contract, legal obligation, vital interests, public task, legitimate interests). Section 8 references consent only for optional analytics cookies, not as a stated processing legal basis, and the /gdpr page's legal-basis language addresses scanned third-party sites, not CertScore.ai's own processing.
Evidence refs: policy_surface_b12224f0#section-5, policy_surface_b12224f0#section-8, policy_surface_47450f37#faq-cookie-consent</x:t>
  </x:si>
  <x:si>
    <x:t xml:space="preserve">Fable 5 seed — No named legal basis for CertScore's own processing in a substantively retained policy. Evidence: Section 8 references consent only for optional analytics cookies; /gdpr basis language concerns scanned third-party sites (policy_surface_b12224f0, 47450f37). Reasoning: Cookie-consent mechanics are not a lawful-basis framework; the policy is otherwise well captured (rows 3, 22), supporting the final absence call. Disagreement: Sol stretches an analytics-consent gate into a legal-basis disclosure.</x:t>
  </x:si>
  <x:si>
    <x:t xml:space="preserve">The retained policy expressly states retention criteria and categories of retained data.
Retained evidence:
• "We retain account data, scan metadata, limited evidence context, and related operational records for as long as needed to operate the service, subject to plan limits, retention settings, legal, security, billing, audit, dispute-resolution, and operational needs."
• "We may retain scan metadata, derived signals, counts, booleans, timestamps, evidence URLs, change history, and limited policy or disclosure excerpts when needed to support analysis, review, remediation, and evidence context."
Evidence refs: policy_surface_b12224f0
Reason codes: RETENTION_PERIOD_OR_CRITERIA_STATED
Mini confidence: 99%</x:t>
  </x:si>
  <x:si>
    <x:t xml:space="preserve">The policy contains a substantive retention passage identifying retained data categories, a duration criterion, and factors affecting retention.
Retained evidence:
• We retain account data, scan metadata, limited evidence context, and related operational records for as long as needed to operate the service, subject to plan limits, retention settings, legal, security, billing, audit, dispute-resolution, and operational needs.
Evidence refs: policy_surface_b12224f0
Reason codes: RETENTION_CRITERIA_DISCLOSED, RETAINED_DATA_CATEGORIES_IDENTIFIED
5.6 Sol confidence: 99%</x:t>
  </x:si>
  <x:si>
    <x:t xml:space="preserve">Section 10 states data is retained 'for as long as needed to operate the service,' a generic necessity formulation, and while it lists retention drivers (plan limits, retention settings, legal, security, billing, audit, dispute-resolution, operational needs), none of these are concrete periods or specific measurable criteria - they are categories of reasons rather than substantive retention criteria, leaving the disclosure ambiguous per the observed standard.
Evidence refs: policy_surface_b12224f0#section-10</x:t>
  </x:si>
  <x:si>
    <x:t xml:space="preserve">Fable 5 seed — A substantive retention disclosure is directly retained. Evidence: "We retain account data, scan metadata, limited evidence context, and related operational records for as long as needed to operate the service, subject to plan limits, retention settings, legal, security, billing, audit, dispute-resolution, and operational needs" (policy_surface_b12224f0 §10). Reasoning: Data categories, a necessity criterion, and enumerated factors (including configurable retention settings) exceed boilerplate. Disagreement: Sonnet's fixed-period bar is stricter than the standard requires.</x:t>
  </x:si>
  <x:si>
    <x:t xml:space="preserve">cimediacloud-20260629</x:t>
  </x:si>
  <x:si>
    <x:t xml:space="preserve">Retention is described with a criterion ('as long as it is reasonably necessary') and the terms add specific retention scenarios for deleted content and unpaid fees.
Retained evidence:
• “How Long We Retain Your Data We retain all categories of Personal Information described in this Privacy Policy for as long as it is reasonably necessary for the purposes ou…”
• “deleted Customer Content may be retained by Sony after removal for the purpose of Sony providing time-limited data recovery services to Customer.”
Evidence refs: policy_surface_16cf055d, policy_surface_f7914be
Reason codes: RETENTION_PERIOD_OR_CRITERION_STATED
Mini confidence: 95%</x:t>
  </x:si>
  <x:si>
    <x:t xml:space="preserve">The privacy policy substantively states a necessity-based retention period for personal information, and the terms separately describe retention of deleted customer content for time-limited recovery.
Retained evidence:
• How Long We Retain Your Data We retain all categories of Personal Information described in this Privacy Policy for as long as it is reasonably necessary for the purposes ou
• deleted Customer Content may be retained by Sony after removal for the purpose of Sony providing time-limited data recovery services to Customer.
Evidence refs: policy_surface_16cf055d, policy_surface_f7914be
Reason codes: GENERAL_RETENTION_STANDARD_DISCLOSED, DELETED_CONTENT_RETENTION_DISCLOSED
5.6 Sol confidence: 93%</x:t>
  </x:si>
  <x:si>
    <x:t xml:space="preserve">The retained retention section states data is kept "for as long as it is reasonably necessary for the purposes ou[...]" but the text is truncated at that generic clause with no visible period or concrete criteria in the retained excerpt. Per the observed standard, this generic necessity language is ambiguous absent surrounding substance, and no substance is present in what was retained.
Evidence refs: policy_surface_16cf055d</x:t>
  </x:si>
  <x:si>
    <x:t xml:space="preserve">Fable 5 seed — Retention criteria plus a concrete scenario are retained. Evidence: "How Long We Retain Your Data... for as long as it is reasonably necessary for the purposes ou[...]" (policy_surface_16cf055d) plus deleted-content retention for time-limited recovery (policy_surface_f7914be). Reasoning: The necessity criterion and specific deleted-content scenario together meet the topic's intent despite the truncated clause. Disagreement: Sonnet weighs only the truncated sentence and skips the terms-based scenario.</x:t>
  </x:si>
  <x:si>
    <x:t xml:space="preserve">The retained document text does not itself provide a named-cookie table, but the retained runtime evidence contains a granular, named cookie inventory with domain, party, and purpose for each entry (e.g., _ga, _ga_8GRRL10YHF, _ga_2YKWNLLBJP, _ga_HMD5WKX8SG, _fbp, _rdt_uuid, _hp2_id.1176624249, __cf_bm, bcookie, li_gc, lidc). This equally granular storage inventory satisfies the standard even though it derives from runtime observation rather than a policy-published cookie table.
Evidence refs: runtimeContext.cookies[13], runtimeContext.cookies[17], runtimeContext.cookies[16], runtimeContext.cookies[15], runtimeContext.cookies[14], runtimeContext.cookies[1], runtimeContext.cookies[0]</x:t>
  </x:si>
  <x:si>
    <x:t xml:space="preserve">Fable 5 seed — Identifiable cookie names are retained, and the policy itself names tools. Evidence: policy names Google Analytics and DoubleClick cookies; runtime lists _ga variants, _fbp, _rdt_uuid, __cf_bm, bcookie, li_gc, lidc with domains. Reasoning: Policy-named technologies plus a granular retained name list satisfy the named-inventory rule. Disagreement: Mini/Sol's runtime-exclusion reading is stricter than the rule text.</x:t>
  </x:si>
  <x:si>
    <x:t xml:space="preserve">conflicting
(Mini + Sonnet)</x:t>
  </x:si>
  <x:si>
    <x:t xml:space="preserve">The policy discloses analytics and advertising technologies, while runtime evidence shows multiple specific trackers/cookies and pre-consent tracking behavior that materially expands the observed implementation beyond the policy text.
Retained evidence:
• Policy: “We may use analytics tools and other third-party technologies such as Google Analytics and DoubleClick Cookies…”
• Policy: “We may use a variety of companies to serve advertisements.”
Evidence refs: policy_surface_16cf055d
Reason codes: POLICY_RUNTIME_MATERIAL_DIFFERENCE
Mini confidence: 93%</x:t>
  </x:si>
  <x:si>
    <x:t xml:space="preserve">Retained runtime evidence corroborates the policy’s specific disclosure of Google Analytics and DoubleClick. This is bounded consistency evidence and does not establish that every observed runtime vendor or pre-consent behavior is fully described by the retained policy capture.
Retained evidence:
• We may use analytics tools and other third-party technologies such as Google Analytics and DoubleClick Cookies to collect non-personal information, including information that has been de-identified or pseudonymized, in the form of various usage and user metrics when you use Ci or visit our websites.
• product="Google Analytics"; matchedCookieNames=["_ga_8GRRL10YHF","_ga","_ga_2YKWNLLBJP","_ga_HMD5WKX8SG"]
Evidence refs: policy_surface_16cf055d, runtimeContext.trackerVendors
Reason codes: DISCLOSED_ANALYTICS_OBSERVED_AT_RUNTIME, DISCLOSED_AD_TECH_OBSERVED_AT_RUNTIME, CONSISTENCY_ASSESSMENT_BOUNDED_TO_RETAINED_EVIDENCE
5.6 Sol confidence: 90%</x:t>
  </x:si>
  <x:si>
    <x:t xml:space="preserve">The retained consent UI evidence shows a functioning choice mechanism with distinct "Accept All", "Decline Non-Essential Cookies", and "Manage Cookies" controls (OneTrust CMP), implying non-essential/advertising cookies should be gated behind a user decision. However, the retained runtime evidence explicitly flags preConsentTrackingObserved=true and thirdPartyCookiesPreConsentObserved=true, and shows third-party advertising/tracking cookies (LinkedIn bcookie/li_gc/lidc, and first-party-set but clearly advertising/analytics cookies like _fbp and _ga variants) being set at or before the same timestamp the consent UI/CMP was first observed (~9567-9637ms), i.e., before any retained evidence of an affirmative user choice. This is a material con…
Evidence refs: runtimeContext.consentUi[0], runtimeContext.preconsent, runtimeContext.cmp[0], runtimeContext.trackerVendors[2], runtimeContext.cookies[1]</x:t>
  </x:si>
  <x:si>
    <x:t xml:space="preserve">The retained policy discloses sharing with companies/partners and references affiliates and controller lists.
Retained evidence:
• "This may include sharing data with companies that help us provide you with a product or service, or with partners we work with."
• "We are a ‘family’ of companies that is made up of many companies and brands such as Warner Bros or Cartoon Network."
Evidence refs: policy_surface_96ce8a40, policy_surface_38ed1769
Reason codes: THIRD_PARTY_SHARING_OR_AFFILIATES
Mini confidence: 91%</x:t>
  </x:si>
  <x:si>
    <x:t xml:space="preserve">The retained policy substantively discloses sharing with service-providing companies and partners and the use of service providers for interaction recording, although it does not identify those vendors by name in the retained passages.
Retained evidence:
• This may include sharing data with companies that help us provide you with a product or service, or with partners we work with.
• In collecting Information about your use of a Digital Service, we may use service providers or other solutions to record users’ interactions with our Sites
Evidence refs: policy_surface_96ce8a40, policy_surface_38ed1769
Reason codes: SERVICE_PROVIDER_DISCLOSURE, PARTNER_SHARING_DISCLOSURE, VENDORS_NOT_SPECIFICALLY_NAMED
5.6 Sol confidence: 96%</x:t>
  </x:si>
  <x:si>
    <x:t xml:space="preserve">Retained policy text addresses sharing only in generic terms — 'sharing data with companies that help us provide you with a product or service, or with partners we work with' — with no named vendors/processors and no meaningful recipient categories. Coverage of the sharing topic is present but does not meet the substantive-disclosure standard.
Evidence refs: policy_surface_96ce8a40, policy_surface_38ed1769</x:t>
  </x:si>
  <x:si>
    <x:t xml:space="preserve">Fable 5 seed — Recipient categories and named affiliates are disclosed. Evidence: "companies that help us provide you with a product or service, or with partners we work with" plus the named corporate family ("Warner Bros or Cartoon Network") (policy_surface_96ce8a40/38ed1769). Reasoning: Category-level recipients with named affiliate examples directly address the topic. Disagreement: Sonnet's named-processor-only bar is stricter than category-level disclosure practice.</x:t>
  </x:si>
  <x:si>
    <x:t xml:space="preserve">The retained policy text mentions cookies generically but does not name specific cookie identifiers. Although runtime evidence names cookies, it is not a policy inventory, and the retained policy capture is visibly incomplete; absence of an inventory could therefore result from incomplete capture.
Retained evidence:
• From your phone or other device: we might get numbers and codes which are sometimes collected from things called cookies (but are not meant for eating).
Evidence refs: policy_surface_96ce8a40, policy_surface_38ed1769
Reason codes: GENERIC_COOKIE_REFERENCE_ONLY, NO_COOKIE_IDENTIFIERS_IN_RETAINED_POLICY, POLICY_CAPTURE_INCOMPLETE
5.6 Sol confidence: 94%</x:t>
  </x:si>
  <x:si>
    <x:t xml:space="preserve">Retained runtime evidence contains a granular named-storage inventory even though the policy text only mentions cookies generically. runtimeContext.cookies lists specific first-party cookie names (countryCode, stateCode, geoData, SecGpc) and runtimeContext.trackerVendors entries list named cookies (OptanonConsent, __cf_bm, _pctx, _pcid) tied to specific vendors, satisfying the granular-inventory standard.
Evidence refs: evidence.runtimeContext.cookies, evidence.runtimeContext.trackerVendors[].matchedCookieNames</x:t>
  </x:si>
  <x:si>
    <x:t xml:space="preserve">Fable 5 seed — Identifiable cookie names are retained. Evidence: runtimeContext lists countryCode, stateCode, geoData, SecGpc plus vendor-matched OptanonConsent, __cf_bm, _pctx, _pcid. Reasoning: The retained evidence lists identifiable cookie names, satisfying the rule; the policy's kid-friendly generic cookie mention is a disclosure-quality caveat for the reviewer. Disagreement: Mini/Sol categorically exclude runtime names.</x:t>
  </x:si>
  <x:si>
    <x:t xml:space="preserve">ebay-20260701</x:t>
  </x:si>
  <x:si>
    <x:t xml:space="preserve">Section 7 gives a concrete period ('retention periods are generally between 6 and 10 years (e.g. for contracts, notifications and business letters)') and criteria for restricting rather than deleting data for legal/contractual defense; Payments ToS Section 9 gives specific inactivity criteria (six years no account access, three years no transactions) triggering account closure.
Evidence refs: policy_surface_8ca3342e, policy_surface_6a995304</x:t>
  </x:si>
  <x:si>
    <x:t xml:space="preserve">Fable 5 seed — Concrete retention periods and criteria are retained. Evidence: "retention periods are generally between 6 and 10 years (e.g. for contracts, notifications and business letters)" (policy_surface_8ca3342e) and Payments ToS inactivity triggers (six years no access, three years no transactions) (policy_surface_6a995304). Reasoning: Numeric periods and defined triggers decisively exceed the bar. Disagreement: Mini/Sol used an unquoted generic template; Sonnet's referenced quotations are the only rationale engaging the evidence.</x:t>
  </x:si>
  <x:si>
    <x:t xml:space="preserve">Runtime evidence lists granular named first-party cookies (e.g., dp1, nonsession, s, ds2, ebay, __uzma-__uzmf, bm_s, bm_ss, bm_so) rather than only category descriptions, satisfying a named-cookie inventory even though the policy text itself only references generic cookie-preference controls without naming cookies.
Evidence refs: runtimeContext.cookies[0], runtimeContext.cookies[1], runtimeContext.cookies[2], runtimeContext.cookies[3], runtimeContext.cookies[4], runtimeContext.cookies[5], runtimeContext.cookies[6], runtimeContext.cookies[17], runtimeContext.cookies[18], runtimeContext.cookies[19]</x:t>
  </x:si>
  <x:si>
    <x:t xml:space="preserve">Fable 5 seed — Identifiable cookie names are retained. Evidence: dp1, nonsession, s, ds2, ebay, __uzma-__uzmf, bm_s, bm_ss, bm_so (runtimeContext.cookies). Reasoning: A granular named list in retained evidence satisfies the rule; the policy's settings-only cookie language is a caveat on disclosed-inventory quality. Disagreement: Mini/Sol's runtime exclusion is stricter than the rule text.</x:t>
  </x:si>
  <x:si>
    <x:t xml:space="preserve">The retained policy and runtime evidence are directionally consistent: the policy discusses cookies and the runtime shows cookie presence and pre-consent tracking, without a material contradiction in the retained packet.
Retained evidence:
• Policy: “You can manage your cookie settings in your browser or device settings.”
• Runtime: cookie names observed include “dp1”, “nonsession”, “s”, “ds2”, “ebay”, “__uzma”, “__uzmb”, “__uzmc”, “__uzmd”, “__uzme”, “__uzmf”, “bm_ss”, “bm_s”, “bm_so”
Evidence refs: policy_surface_8ca3342e
Reason codes: POLICY_AND_RUNTIME_BOTH_PRESENT, NO_MATERIAL_DISAGREEMENT_OBSERVED
Mini confidence: 84%</x:t>
  </x:si>
  <x:si>
    <x:t xml:space="preserve">Runtime evidence records first-party cookies and pre-consent tracking, but their purposes are unknown. The retained policy contains only a partial cookie passage, and the consent-interface capture status is null. The evidence is therefore insufficient to determine whether runtime behavior materially agrees or disagrees with the applicable cookie disclosures.
Retained evidence:
• You are also free to disable the use of cookies and similar technologies if this is supported by your device. You can manage your cookie settings in your browser or device settings.
• "preConsentTrackingObserved":true
Evidence refs: policy_surface_8ca3342e
Reason codes: COOKIE_POLICY_SECTION_PARTIALLY_RETAINED, RUNTIME_COOKIE_PURPOSES_UNKNOWN, CONSENT_UI_CAPTURE_INCOMPLETE, NO_MATERIAL_CONTRADICTION_ESTABLISHED
5.6 Sol confidence: 83%</x:t>
  </x:si>
  <x:si>
    <x:t xml:space="preserve">Retained runtime capture is too incomplete to reliably compare against policy disclosures: consentUi shows no banner/accept/reject controls observed and captureStatus is null, and while preConsentTrackingObserved is true, thirdPartyVendorsObserved and thirdPartyCookiesPreConsentObserved are both false, with the only identified tracker vendor being Akamai's bot-management/security product rather than advertising-related tracking the policy discusses. This does not provide a reliable basis to affirm or contradict the policy's cookie/consent disclosures.
Evidence refs: runtimeContext.consentUi[0], runtimeContext.preconsent, runtimeContext.trackerVendors[0]</x:t>
  </x:si>
  <x:si>
    <x:t xml:space="preserve">Fable 5 seed — Strong exception: the runtime capture is too broken to compare. Evidence: consentUi captureStatus null with no controls observed; preConsentTrackingObserved=true but thirdPartyVendors/thirdPartyCookiesPreConsent false; only vendor is Akamai bot management; cookie policy passage partial. Reasoning: With consent capture failed and cookie purposes unknown, neither consistency nor conflict is a supportable final call. Disagreement: Mini's observed infers consistency from co-presence, which is not a comparison.</x:t>
  </x:si>
  <x:si>
    <x:t xml:space="preserve">hubspot-20260611</x:t>
  </x:si>
  <x:si>
    <x:t xml:space="preserve">Retained runtime evidence provides a granular named-cookie inventory: first-party __cf_bm (security) plus multiple named third-party cookies tied to specific vendors, including _ga/_ga_X/_ga_LXTM6CQ0XK (Google Analytics), bcookie (LinkedIn Insight Tag), ad-id/ar_debug/ad-privacy (Amazon Ads), test_cookie/IDE (Google Ads/DoubleClick), and TapAd_TS/TapAd_DID/TapAd_3WAY_SYNCS (Tapad). This meets the specific-name inventory standard even though it derives from runtime observation rather than policy text.
Evidence refs: runtimeContext.cookies, runtimeContext.trackerVendors</x:t>
  </x:si>
  <x:si>
    <x:t xml:space="preserve">Fable 5 seed — Identifiable cookie names are retained. Evidence: __cf_bm plus vendor-tied _ga/_ga_LXTM6CQ0XK, bcookie, ad-id/ar_debug/ad-privacy, test_cookie/IDE, TapAd_TS/DID/3WAY_SYNCS (runtimeContext). Reasoning: A granular retained name list satisfies the rule; the policy side retained only navigation, a completeness caveat for the reviewer. Disagreement: Mini/Sol's categorical runtime exclusion.</x:t>
  </x:si>
  <x:si>
    <x:t xml:space="preserve">The retained policy surface does not substantively address tracking, while runtime evidence shows pre-consent tracking and third-party cookies.
Retained evidence:
• Policy surface retained only a header fragment and no substantive consent or tracking disclosures.
• Runtime shows pre-consent tracking and third-party cookies: "thirdPartyVendorsObserved":true, "preConsentTrackingObserved":true, "thirdPartyCookiesPreConsentObserved":true.
Evidence refs: policy_surface_da4385d4, policy_surface_b90c134b
Reason codes: runtime_preconsent_tracking_observed, policy_capture_incomplete
Mini confidence: 84%</x:t>
  </x:si>
  <x:si>
    <x:t xml:space="preserve">Runtime behavior was retained, but the policy captures contain no substantive assertions against which that behavior can be compared. No consistency or conflict classification is supportable from the packet.
Retained evidence:
• "preConsentTrackingObserved":true
• "thirdPartyCookiesPreConsentObserved":true
Evidence refs: runtimeContext.preconsent, policy_surface_da4385d4, policy_surface_b90c134b
Reason codes: RUNTIME_EVIDENCE_RETAINED, PRIVACY_POLICY_CAPTURE_TRUNCATED, NO_COMPARABLE_POLICY_ASSERTION
5.6 Sol confidence: 98%</x:t>
  </x:si>
  <x:si>
    <x:t xml:space="preserve">No substantive policy or consent-disclosure text was retained (only navigation boilerplate), so runtime findings such as preConsentTrackingObserved=true, thirdPartyCookiesPreConsentObserved=true, and consentManagementJourneyCount=0 alongside consentUi.likelyPresent=true cannot be reliably compared against any retained policy claim.
Evidence refs: policy_surface_da4385d4, policy_surface_b90c134b, runtimeContext.preconsent, runtimeContext.consentUi</x:t>
  </x:si>
  <x:si>
    <x:t xml:space="preserve">Fable 5 seed — Strong exception: no policy assertions retained at all. Evidence: policy_surface_da4385d4/b90c134b contain navigation boilerplate; runtime shows pre-consent tracking and third-party cookies with consentUi.likelyPresent=true. Reasoning: A consistency or conflict verdict requires a retained representation; none exists. Disagreement: Mini's conflicting converts a capture failure into a contradiction.</x:t>
  </x:si>
  <x:si>
    <x:t xml:space="preserve">ikea-20260629</x:t>
  </x:si>
  <x:si>
    <x:t xml:space="preserve">The privacy-policy text itself only describes cookie categories (functional, preference, analytical) without naming individual cookies, which alone would be insufficient. However, retained runtime evidence records specific named cookies with domain and purpose (__cf_bm, ikexp_id, OptanonConsent), satisfying the requirement for a granular named-cookie inventory.
Evidence refs: runtimeContext.cookies</x:t>
  </x:si>
  <x:si>
    <x:t xml:space="preserve">Fable 5 seed — Named cookies are retained alongside a category-level policy. Evidence: __cf_bm, ikexp_id, OptanonConsent with domains and purposes (runtimeContext.cookies); policy describes functional/preference/analytical categories. Reasoning: Retained evidence lists identifiable cookie names, satisfying the rule; the policy text itself being category-only is noted for the reviewer. Disagreement: Mini/Sol exclude runtime names categorically.</x:t>
  </x:si>
  <x:si>
    <x:t xml:space="preserve">observed
(Mini + Sonnet)</x:t>
  </x:si>
  <x:si>
    <x:t xml:space="preserve">The retained policy’s consent-management language is directionally consistent with runtime evidence showing a CMP and visible accept/reject controls. No material contradiction is retained.
Retained evidence:
• Policy: “There you can also withdraw your consent anytime and change your cookie preferences.”
• Policy: “When you withdraw your consent, we will stop placing new non-essential cookies and the cookies placed on your browser will be deactivated and will no longer collect your personal information.”
Evidence refs: policy_surface_33a3dcdc_privacy_alias
Reason codes: CONSENT_WITHDRAWAL_POLICY_MATCHES_RUNTIME, CMP_PRESENT
Mini confidence: 84%</x:t>
  </x:si>
  <x:si>
    <x:t xml:space="preserve">The policy permits functional cookies without consent and says new non-essential cookies stop after withdrawal. Runtime evidence reports pre-consent tracking and an unknown-purpose cookie, but does not establish whether that cookie is functional, essential, or non-essential. The retained evidence therefore cannot establish either consistency or a material disagreement.
Retained evidence:
• These cookies are always set and we do not require your consent to use them.
• When you withdraw your consent, we will stop placing new non-essential cookies
Evidence refs: policy_surface_33a3dcdc_privacy_alias
Reason codes: PRECONSENT_ACTIVITY_OBSERVED, RUNTIME_COOKIE_PURPOSE_UNKNOWN, NO_MATERIAL_CONFLICT_ESTABLISHED, CONSISTENCY_NOT_DETERMINABLE
5.6 Sol confidence: 76%</x:t>
  </x:si>
  <x:si>
    <x:t xml:space="preserve">Retained runtime evidence shows only first-party functional/security cookies (__cf_bm, ikexp_id) and a consent-management cookie (OptanonConsent) alongside an OneTrust CMP and an Accept/Reject consent UI; preconsent flags indicate no third-party vendors or third-party cookies observed pre-consent. This is materially consistent with the policy's statements that functional cookies 'are always set and we do not require your consent' while marketing/analytics cookies require consent obtained via a cookie-settings mechanism, so no material contradiction is present in the retained evidence.
Evidence refs: runtimeContext.cookies, runtimeContext.consentUi, runtimeContext.cmp, runtimeContext.preconsent</x:t>
  </x:si>
  <x:si>
    <x:t xml:space="preserve">Fable 5 seed — Runtime behavior matches the policy's consent model. Evidence: policy states functional cookies are always set without consent and non-essential cookies stop on withdrawal; runtime shows only first-party functional/security/consent cookies, OneTrust CMP with accept/reject controls, and no pre-consent third-party activity. Reasoning: Every retained runtime signal aligns with the retained representations. Disagreement: Sol's ambiguous rests on one unknown-purpose cookie (ikexp_id), a minor gap.</x:t>
  </x:si>
  <x:si>
    <x:t xml:space="preserve">kbdlab-20260630</x:t>
  </x:si>
  <x:si>
    <x:t xml:space="preserve">The retained documents disclose third-party advertising partners and third-party ad servers/ad networks, including their use of cookies and related technologies.
Retained evidence:
• "[Advertising Partners Privacy Policies] You may consult this list to find the Privacy Policy for each of the advertising partners of KBD Lab. Third-party ad servers or ad networks uses technologies like cookies, JavaScript, or Web Beacons..."
• "Some of our affiliate/advertising partners may also use cookies."
Evidence refs: policy_surface_a3f43701, policy_surface_2ef42a2f
Reason codes: third_party_advertising_partner_disclosure
Mini confidence: 97%</x:t>
  </x:si>
  <x:si>
    <x:t xml:space="preserve">The policy identifies meaningful recipient categories, including advertising partners and third-party ad servers or networks.
Retained evidence:
• Third-party ad servers or ad networks uses technologies like cookies, JavaScript, or Web Beacons
Evidence refs: policy_surface_a3f43701
Reason codes: recipient_categories
5.6 Sol confidence: 93%</x:t>
  </x:si>
  <x:si>
    <x:t xml:space="preserve">The policy references only generic 'advertising partners' and unnamed 'third-party ad servers or ad networks' that use cookies/JavaScript/web beacons, without naming any specific vendor or providing a meaningful, delineated recipient category. This is boilerplate 'may be shared' language rather than a substantive vendor/recipient disclosure.
Evidence refs: policy_surface_a3f43701</x:t>
  </x:si>
  <x:si>
    <x:t xml:space="preserve">Fable 5 seed — Recipient categories are substantively disclosed. Evidence: "Third-party ad servers or ad networks uses technologies like cookies, JavaScript, or Web Beacons", a referenced advertising-partner list, and affiliate/advertising partners' cookie use (policy_surface_a3f43701, 2ef42a2f). Reasoning: Categories, their technologies, and a partner-list pointer directly address the topic. Disagreement: Sonnet's named-vendor-only bar is stricter than category-level disclosure.</x:t>
  </x:si>
  <x:si>
    <x:t xml:space="preserve">The policies provide only general cookie descriptions and no named-cookie inventory; runtime names do not establish a policy inventory.
Retained evidence:
• Like any other website, KBD Lab uses 'cookies'.
Evidence refs: policy_surface_a3f43701, policy_surface_2ef42a2f
Reason codes: category_only, runtime_names_excluded
5.6 Sol confidence: 99%</x:t>
  </x:si>
  <x:si>
    <x:t xml:space="preserve">The 'Cookies and Web Beacons' section describes cookie use only in generic category terms (storing visitor preferences and pages visited) with no named cookies, cookie table, or equivalent granular storage inventory in the retained policy text.
Evidence refs: policy_surface_a3f43701</x:t>
  </x:si>
  <x:si>
    <x:t xml:space="preserve">Fable 5 seed — The retained cookie section is category-only with no named inventory. Evidence: "Like any other website, KBD Lab uses 'cookies'... to store information including visitors' preferences" (policy_surface_a3f43701). Reasoning: The blog-style policy's cookie section appears fully captured and names nothing; no granular named list appears in this row's retained packet. Disagreement: Mini's insufficient posits an unretained dedicated inventory, but this boilerplate policy format is itself the disclosure surface.</x:t>
  </x:si>
  <x:si>
    <x:t xml:space="preserve">The policy generally mentions cookies and third-party ad technologies, while runtime evidence shows pre-consent third-party cookies and tracking activity, including Microsoft Clarity and Google Analytics-related cookies. This is a material policy/runtime mismatch on observed tracking behavior.
Retained evidence:
• "[Cookies and Web Beacons] Like any other website, KBD Lab uses 'cookies'. These cookies are used to store information including visitors' preferences..."
• "[Advertising Partners Privacy Policies] ... Third-party ad servers or ad networks uses technologies like cookies, JavaScript, or Web Beacons..."
Evidence refs: policy_surface_a3f43701, policy_surface_2ef42a2f
Reason codes: policy_mentions_cookies_but_runtime_shows_preconsent_third_party_tracking, runtime_shows_specific_trackers_not_resolved_by_policy_text
Mini confidence: 95%</x:t>
  </x:si>
  <x:si>
    <x:t xml:space="preserve">Runtime evidence shows analytics and session-replay activity, while the policies disclose cookies and third-party technologies only generically; no material contradiction is retained, but the comparison is not specific enough for an observed consistency conclusion.
Retained evidence:
• Some of our affiliate/advertising partners may also use cookies.
• preConsentTrackingObserved
Evidence refs: policy_surface_a3f43701, policy_surface_2ef42a2f, runtime_context
Reason codes: generic_disclosure, specific_runtime
5.6 Sol confidence: 88%</x:t>
  </x:si>
  <x:si>
    <x:t xml:space="preserve">The retained policy frames cookie use narrowly around visitor preferences and unnamed 'advertising partner' cookies, and invokes GDPR data-protection rights implying a consent-oriented compliance posture, while the retained runtime evidence shows preConsentTrackingObserved=true, thirdPartyCookiesPreConsentObserved=true, sessionReplayOrBehavioralAnalyticsObserved=true, and consentBannerLikelyPresent=false, with no accept/reject/manage controls captured in consentUi. Named runtime trackers include Google Analytics, Google Tag Manager, and Microsoft Clarity (session replay) plus Bing/Microsoft advertising cookies (MUID, SRM_B, MR) — categories of tracking (notably behavioral session replay) not disclosed in the policy at all, firing with no o…
Evidence refs: policy_surface_a3f43701, runtimeContext.preconsent, runtimeContext.consentUi, runtimeContext.cookies, runtimeContext.sessionReplay, runtimeContext.trackerVendors</x:t>
  </x:si>
  <x:si>
    <x:t xml:space="preserve">Fable 5 seed — Strong retained contradiction: undisclosed behavioral tracking with no consent mechanism. Evidence: policy discloses only preference and ad-partner cookies while invoking GDPR rights; runtime shows preConsentTrackingObserved, thirdPartyCookiesPreConsentObserved, and sessionReplayOrBehavioralAnalyticsObserved all true (Microsoft Clarity; MUID/SRM_B/MR), consentBannerLikelyPresent=false, no controls. Reasoning: An entire undisclosed tracking category running unconsented against the policy's representations is material. Disagreement: Sol's ambiguous frames a category-level omission as mere generality.</x:t>
  </x:si>
  <x:si>
    <x:t xml:space="preserve">The policy contains a direct substantive list of how personal information is used, which is sufficient to observe processing purposes.
Retained evidence:
• "We may use your personal information to: Provide, operate, maintain, improve, and promote the Websites and Services for all users of the Websites and Services; Enable you to access and use the Websites and Services; Process and complete transactions, and send you related information, including purchase confirmations and invoices; Send transaction…
Evidence refs: policy_surface_f7d5c152
Reason codes: PURPOSES_EXPLICITLY_LISTED
Mini confidence: 97%</x:t>
  </x:si>
  <x:si>
    <x:t xml:space="preserve">The policy directly lists multiple purposes for processing personal information, including service operation, transactions, support, security, legal compliance, and consented purposes.
Retained evidence:
• Provide, operate, maintain, improve, and promote the Websites and Services for all users of the Websites and Services;
• Process and complete transactions, and send you related information, including purchase confirmations and invoices;
Evidence refs: policy_surface_f7d5c152
Reason codes: SERVICE_PROVISION_PURPOSE, TRANSACTION_PURPOSE, SUPPORT_AND_COMMUNICATION_PURPOSE, SECURITY_AND_FRAUD_PREVENTION_PURPOSE, LEGAL_COMPLIANCE_PURPOSE
5.6 Sol confidence: 99%</x:t>
  </x:si>
  <x:si>
    <x:t xml:space="preserve">The sole retained document (policy_surface_f7d5c152) is Cloudflare's own privacy policy, describing why Cloudflare processes personal data from its own Attendees/Website Visitors/Customers (Sections 1-3). It is disclosure-shaped text but is not evidence of Lufthansa's processing purposes; no Lufthansa-attributable purpose disclosure is retained.
Evidence refs: policy_surface_f7d5c152</x:t>
  </x:si>
  <x:si>
    <x:t xml:space="preserve">Fable 5 seed — Strong exception: wrong-entity capture. Evidence: policy_surface_f7d5c152 is Cloudflare's own privacy policy (Attendees/Website Visitors/Customers, "Cloudflare Service"). Reasoning: Cloudflare's purpose list cannot evidence Lufthansa's processing purposes; a final call either way would misattribute a third party's disclosures. Disagreement: Mini/Sol quote genuine purpose language without noticing the controller mismatch; majority rejected.</x:t>
  </x:si>
  <x:si>
    <x:t xml:space="preserve">The policy expressly states that legal basis depends on context for EEA/UK/Switzerland users, which is direct legal-basis evidence.
Retained evidence:
• "If you are an individual from the European Economic Area (the “EEA”), the UK or Switzerland, please note that our legal basis for collecting and using your personal information will depend on the personal information collected and the specific context in which we collect it."
• "For other purposes for which we obtain your consent."
Evidence refs: policy_surface_f7d5c152
Reason codes: LEGAL_BASIS_REFERENCED
Mini confidence: 95%</x:t>
  </x:si>
  <x:si>
    <x:t xml:space="preserve">The retained text introduces legal bases but is truncated before identifying the applicable bases or mapping them to processing. Incomplete capture could explain the absence of substantive legal-basis details.
Retained evidence:
• If you are an individual from the European Economic Area (the “EEA”), the UK or Switzerland, please note that our legal basis for collecting and using your personal information will depend on the personal information collected and the specific context in
Evidence refs: policy_surface_f7d5c152
Reason codes: LEGAL_BASIS_PASSAGE_TRUNCATED, NO_SPECIFIC_BASIS_RETAINED, INCOMPLETE_CAPTURE_POSSIBLE
5.6 Sol confidence: 78%</x:t>
  </x:si>
  <x:si>
    <x:t xml:space="preserve">The retained text only states that Cloudflare's 'legal basis for collecting and using your personal information will depend on the personal information collected and the specific context' for EEA/UK/Switzerland individuals -- a vague, non-committal reference tied to Cloudflare's own processing, not a Lufthansa-specific legal-basis disclosure. No substantive legal basis for Lufthansa's processing is retained.
Evidence refs: policy_surface_f7d5c152</x:t>
  </x:si>
  <x:si>
    <x:t xml:space="preserve">Fable 5 seed — Wrong-entity capture; no Lufthansa legal-basis text exists. Evidence: the "legal basis... will depend on... the specific context" passage sits inside Cloudflare's policy (policy_surface_f7d5c152). Reasoning: A non-committal statement by a different controller cannot ground a finding about the target. Disagreement: Mini's observed misattributes Cloudflare's text to Lufthansa.</x:t>
  </x:si>
  <x:si>
    <x:t xml:space="preserve">The policy states that data is retained for a period and then deleted or destroyed, with a fallback if technical deletion is not immediately possible.
Retained evidence:
• "11. DATA RETENTION. ... When the data retention period expires for a given type of data, we will delete or destroy it. If, for technical reasons, we are unable to do so, we will take reasonable measures to prevent any further processing of such data until deletion is possible."
Evidence refs: policy_surface_f7d5c152
Reason codes: RETENTION_PERIOD_AND_DELETION
Mini confidence: 96%</x:t>
  </x:si>
  <x:si>
    <x:t xml:space="preserve">The policy substantively describes a retention consideration and deletion or destruction after the applicable retention period expires.
Retained evidence:
• Legal requirements that may apply to the data, such as applicable statutes of limitation or contractual obligations.
• When the data retention period expires for a given type of data, we will delete or destroy it.
Evidence refs: policy_surface_f7d5c152
Reason codes: RETENTION_CRITERIA_DISCLOSED, POST_RETENTION_DELETION_DISCLOSED
5.6 Sol confidence: 96%</x:t>
  </x:si>
  <x:si>
    <x:t xml:space="preserve">Section 11 'DATA RETENTION' in the retained text describes Cloudflare's own retention criteria (legal requirements, statutes of limitation) for Cloudflare's data holdings, not Lufthansa's retention periods or criteria. No Lufthansa retention evidence is retained.
Evidence refs: policy_surface_f7d5c152</x:t>
  </x:si>
  <x:si>
    <x:t xml:space="preserve">Fable 5 seed — Wrong-entity capture; retention evidence belongs to Cloudflare. Evidence: "11. DATA RETENTION" and deletion-on-expiry language in policy_surface_f7d5c152. Reasoning: Cloudflare's retention commitments are not Lufthansa's disclosure. Disagreement: Mini/Sol quote real retention language but miss the entity mismatch; majority rejected.</x:t>
  </x:si>
  <x:si>
    <x:t xml:space="preserve">The policy explicitly describes an international transfer mechanism and reliance on certifications for such transfers.
Retained evidence:
• "If Cloudflare transfers personal data from a country that recognizes the Global Cross Border Privacy Rules (“CBPR”) System and the Global Privacy Recognition for Processors (“PRP”) System as lawful data transfer mechanisms, we rely on our certifications under the CBPR System and Global PRP System, as applicable."
Evidence refs: policy_surface_f7d5c152
Reason codes: TRANSFER_MECHANISM_EXPLICITLY_STATED
Mini confidence: 94%</x:t>
  </x:si>
  <x:si>
    <x:t xml:space="preserve">The retained policy passage directly addresses cross-border personal-data transfers and identifies certifications relied upon as transfer mechanisms. The separately supplied registry marks its identified framework signal as current; no independent legal conclusion is made here.
Retained evidence:
• When Cloudflare transfers personal data from a country that recognizes the Global Cross Border Privacy Rules (“CBPR”) System and the Global Privacy Recognition for Processors (“PRP”) System as lawful data transfer mechanisms, we rely on our certifications under the CBPR System and Global PRP System, as applicable.
• The Global CBPR System means the data privacy framework established by the Global CBPR Forum against which data controllers can voluntarily certify and undergo assessment by third-party accountability agents to enable accountable cross-border data flows among participating jurisdictions.
Evidence refs: policy_surface_f7d5c152
Reason codes: CROSS_BORDER_TRANSFERS_DISCLOSED, TRANSFER_MECHANISMS_IDENTIFIED, AUTHORITATIVE_REGISTRY_SIGNAL_CURRENT
5.6 Sol confidence: 96%</x:t>
  </x:si>
  <x:si>
    <x:t xml:space="preserve">The retained text describes Cloudflare's own reliance on Global CBPR/PRP certifications for its cross-border transfers. This is Cloudflare's transfer-mechanism disclosure, not Lufthansa's; no retained evidence describes Lufthansa's international transfer destinations or mechanisms.
Evidence refs: policy_surface_f7d5c152</x:t>
  </x:si>
  <x:si>
    <x:t xml:space="preserve">Fable 5 seed — Wrong-entity capture; the CBPR/PRP transfer mechanism is Cloudflare's. Evidence: "If Cloudflare transfers personal data... we rely on our certifications under the CBPR System and Global PRP System" (policy_surface_f7d5c152). Reasoning: A third party's transfer mechanism cannot be credited to the target; no Lufthansa transfer evidence retained. Disagreement: Mini/Sol's observed rests entirely on the misattributed document; majority rejected.</x:t>
  </x:si>
  <x:si>
    <x:t xml:space="preserve">The policy identifies third-party service providers and describes the services they perform, which is sufficient vendor disclosure evidence.
Retained evidence:
• "We work with other companies who provide us with services that help run our business and the Cloudflare Service (“Service Providers”). These companies provide services to help us deliver customer support, process credit card payments, manage and contact our existing Customers and Administrators as well as sales leads, provide marketing support, a…
• "These Service Providers may only process personal information pursuant to our instructions and in compliance both with this Privacy Policy, the contracts we have in place with such Service Providers, and other applicable confidentiality, data protection, and security measures and regulations."
Evidence refs: policy_surface_f7d5c152
Reason codes: SERVICE_PROVIDER_DISCLOSURE
Mini confidence: 98%</x:t>
  </x:si>
  <x:si>
    <x:t xml:space="preserve">The policy substantively discloses categories and functions of service providers and states restrictions on their processing, even though the retained passage does not name individual providers.
Retained evidence:
• We work with other companies who provide us with services that help run our business and the Cloudflare Service (“Service Providers”).
• These companies provide services to help us deliver customer support, process credit card payments, manage and contact our existing Customers and Administrators as well as sales leads, provide marketing support, and otherwise operate and improve our Services.
Evidence refs: policy_surface_f7d5c152
Reason codes: SERVICE_PROVIDER_DISCLOSURE, VENDOR_FUNCTIONS_DESCRIBED, PROCESSING_RESTRICTIONS_DISCLOSED, NO_INDIVIDUAL_VENDOR_NAMES_RETAINED
5.6 Sol confidence: 97%</x:t>
  </x:si>
  <x:si>
    <x:t xml:space="preserve">Section 5 'INFORMATION SHARING' names Cloudflare's own Service Providers (support, payment processing, marketing), which is Cloudflare's vendor disclosure, not a Lufthansa vendor/processor disclosure. The runtime evidence separately identifies Cloudflare as a vendor operating on lufthansa.com (trackerVendors), but no retained policy text discloses Lufthansa's processors or recipient categories.
Evidence refs: policy_surface_f7d5c152</x:t>
  </x:si>
  <x:si>
    <x:t xml:space="preserve">Fable 5 seed — Wrong-entity capture; the Service Providers section describes Cloudflare's vendors. Evidence: "companies who provide us with services that help run our business and the Cloudflare Service" (policy_surface_f7d5c152). Reasoning: Lufthansa's processors are not disclosed anywhere in retained evidence; runtime detection of Cloudflare is telemetry. Disagreement: Mini/Sol misattribute Cloudflare's vendor disclosure to the target; majority rejected.</x:t>
  </x:si>
  <x:si>
    <x:t xml:space="preserve">The policy lists multiple data subject rights and provides a request channel and response timeframe.
Retained evidence:
• "You have the right to access, correct, update, port, or delete your personal information, and to restrict or object to the processing of your personal information (each of these a “Rights Request”)."
• "You may email us at sar@cloudflare.com with any Rights Request, and we will respond within thirty (30) days."
Evidence refs: policy_surface_f7d5c152
Reason codes: RIGHTS_LIST_AND_REQUEST_CHANNEL
Mini confidence: 99%</x:t>
  </x:si>
  <x:si>
    <x:t xml:space="preserve">The policy identifies multiple data-subject rights, provides a submission channel, and explains identity verification.
Retained evidence:
• You have the right to access, correct, update, port, or delete your personal information, and to restrict or object to the processing of your personal information (each of these a “Rights Request”).
• You may email us at sar@cloudflare.com with any Rights Request, and we will respond within thirty (30) days.
Evidence refs: policy_surface_f7d5c152
Reason codes: RIGHTS_ENUMERATED, RIGHTS_REQUEST_CHANNEL_DISCLOSED, IDENTITY_VERIFICATION_DISCLOSED
5.6 Sol confidence: 99%</x:t>
  </x:si>
  <x:si>
    <x:t xml:space="preserve">Section 8 describes rights individuals can exercise against Cloudflare directly (via sar@cloudflare.com) as data controller of Cloudflare's own systems. This is Cloudflare's rights disclosure, not a Lufthansa data-subject-rights disclosure; no retained text ties these rights to Lufthansa's processing.
Evidence refs: policy_surface_f7d5c152</x:t>
  </x:si>
  <x:si>
    <x:t xml:space="preserve">Fable 5 seed — Wrong-entity capture; the rights disclosure runs against Cloudflare. Evidence: access/correct/port/delete rights exercised via sar@cloudflare.com (policy_surface_f7d5c152 §8). Reasoning: These are Cloudflare's obligations to its own data subjects; no retained text ties any right to Lufthansa's processing. Disagreement: Mini/Sol misattribute the rights section; majority rejected.</x:t>
  </x:si>
  <x:si>
    <x:t xml:space="preserve">Retained runtime evidence lists a specific, named cookie (__cf_bm) observed on the lufthansa.com/www.lufthansa.com domains across three timestamps, with party classification (first_party) and purpose (security), sourced to the Cloudflare Bot Management vendor per trackerVendors. This is a granular named-cookie technical inventory, though limited in breadth to a single security/CDN cookie with no other cookie categories (e.g., analytics, marketing) represented in the retained evidence.
Evidence refs: runtimeContext.cookies[0], runtimeContext.cookies[1], runtimeContext.cookies[2], runtimeContext.trackerVendors[0]</x:t>
  </x:si>
  <x:si>
    <x:t xml:space="preserve">Low</x:t>
  </x:si>
  <x:si>
    <x:t xml:space="preserve">Fable 5 seed — A single identifiable cookie name is retained. Evidence: __cf_bm on lufthansa.com domains across three timestamps, first-party, security purpose, sourced to Cloudflare Bot Management (runtimeContext.cookies/trackerVendors). Reasoning: Retained evidence lists an identifiable cookie name, technically satisfying the rule, but the inventory is a single security cookie with the target's own cookie disclosure entirely unretained — Low confidence and flagged for re-scan. Disagreement: Mini/Sol exclude runtime names; their coverage concern is why confidence stays Low.</x:t>
  </x:si>
  <x:si>
    <x:t xml:space="preserve">mit-20260626</x:t>
  </x:si>
  <x:si>
    <x:t xml:space="preserve">Policy provides retention criteria beyond a bare 'as long as necessary' statement: records kept for the 'lifelong' MIT relationship until the individual opts out, after which a 'core set' is retained for archival/scientific/historical research and defense of legal claims, plus financial data retained for US IRS legal-compliance purposes.
Evidence refs: policy_surface_93e2e8ea</x:t>
  </x:si>
  <x:si>
    <x:t xml:space="preserve">Fable 5 seed — Specific retention criteria beyond bare necessity are retained. Evidence: records kept for the "lifelong" MIT relationship until opt-out, then a "core set" retained for archival/scientific/historical research and legal-claims defense, plus IRS-driven financial retention (policy_surface_93e2e8ea). Reasoning: Duration concept, post-opt-out scope, and purpose-specific criteria are substantive. Disagreement: Mini/Sol's unquoted generic template does not engage this text; majority rejected.</x:t>
  </x:si>
  <x:si>
    <x:t xml:space="preserve">The retained privacy policy contains substantive cookie coverage but does not name any specific cookie identifier. Runtime evidence also reports no captured cookie names, so a cookie inventory was not observed with sufficient retained coverage.
Retained evidence:
• A cookie is a short identifier, stored on your computer, that may contain site-specific settings or identify you to a site when you make a return visit.
• Google Analytics uses a browser cookie for statistical analysis related to your browsing behavior on these websites.
Evidence refs: policy_surface_93e2e8ea
Reason codes: COOKIE_SECTION_RETAINED, NO_SPECIFIC_COOKIE_IDENTIFIERS_NAMED, RUNTIME_COOKIE_LIST_EMPTY
5.6 Sol confidence: 98%</x:t>
  </x:si>
  <x:si>
    <x:t xml:space="preserve">Retained coverage includes both policy text and runtime capture, but neither provides a granular named-cookie inventory. The policy only describes cookies at a category level ('a cookie is a short identifier...' and 'Google Analytics uses a browser cookie') without naming specific cookies (e.g., _ga), and retained runtimeContext.cookies is an empty array with no matched cookie names recorded against the detected tracker vendor.
Evidence refs: policy_surface_93e2e8ea, runtimeContext.cookies, runtimeContext.trackerVendors[0].matchedCookieNames</x:t>
  </x:si>
  <x:si>
    <x:t xml:space="preserve">Fable 5 seed — Neither policy nor runtime yields a named inventory despite adequate capture. Evidence: policy describes cookies and "Google Analytics uses a browser cookie" without names; runtimeContext.cookies is an empty array. Reasoning: Both surfaces retained, neither contains names — confirmed absence. Disagreement: Mini's insufficient posits an unretained inventory the complete, category-level policy discussion does not suggest.</x:t>
  </x:si>
  <x:si>
    <x:t xml:space="preserve">The retained policy discloses Google Analytics, and runtime evidence shows Google Tag Manager on the site; this is directionally consistent at the Google-vendor level, though they are different products.
Retained evidence:
• Policy: “The main MIT website uses Google Analytics to gather anonymous statistics.”
• Runtime: tracker vendor matched hostnames [“www.googletagmanager.com”] with product “Google Tag Manager” and vendor “Google”.
Evidence refs: policy_surface_93e2e8ea
Reason codes: POLICY_AND_RUNTIME_BOTH_SHOW_GOOGLE_ECOSYSTEM
Mini confidence: 88%</x:t>
  </x:si>
  <x:si>
    <x:t xml:space="preserve">Runtime evidence found a Google Tag Manager hostname but no cookies, while the policy discloses Google Analytics and its browser cookie. Google Tag Manager is not expressly disclosed, but the retained runtime evidence does not establish that it set cookies or contradict the policy’s cookie statement. The relationship between the observed tag-management request and the disclosed analytics implementation therefore remains ambiguous.
Retained evidence:
• The main MIT website does not use cookies, with the exception of those used by Google Analytics, described below.
• "matchedHostnames":["www.googletagmanager.com"],"product":"Google Tag Manager","purpose":"tag_management","vendor":"Google"
Evidence refs: policy_surface_93e2e8ea
Reason codes: RUNTIME_GOOGLE_TAG_MANAGER_OBSERVED, POLICY_GOOGLE_ANALYTICS_DISCLOSED, NO_RUNTIME_COOKIES_CAPTURED, NO_MATERIAL_CONTRADICTION_ESTABLISHED
5.6 Sol confidence: 78%</x:t>
  </x:si>
  <x:si>
    <x:t xml:space="preserve">Retained runtime evidence does not materially contradict the policy. Policy discloses only Google Analytics as a non-essential cookie/tracking use with no mention of a consent banner; runtimeContext.consentUi[0] shows no accept/reject/manage-preferences controls and captureStatus null, and runtimeContext.preconsent shows consentBannerLikelyPresent false and preConsentTrackingObserved/thirdPartyCookiesPreConsentObserved both false. The single detected vendor, Google Tag Manager (runtimeContext.trackerVendors[0], confidence 0.96, googletagmanager.com), is consistent with a Google-analytics-oriented setup and shows no matched cookies, so no material discrepancy is established, though the runtime name (Tag Manager) is not identical to the poli…
Evidence refs: policy_surface_93e2e8ea, runtimeContext.consentUi[0], runtimeContext.preconsent, runtimeContext.trackerVendors[0]</x:t>
  </x:si>
  <x:si>
    <x:t xml:space="preserve">Fable 5 seed — No material discrepancy retained. Evidence: policy states the main site uses no cookies except Google Analytics'; runtime shows one vendor (Google Tag Manager), zero cookies captured, no banner, no pre-consent third-party cookies. Reasoning: GTM is a delivery mechanism consistent with a GA deployment; nothing observed contradicts the retained representation. Disagreement: Sol's ambiguous rests on the GTM/GA product distinction, which produced no retained contradiction.</x:t>
  </x:si>
  <x:si>
    <x:t xml:space="preserve">While the retained Cookie Notice text is category-level only, retained runtime evidence supplies a granular, named cookie/storage inventory (e.g., ng_geolocation, akaas_NBCNews, ak_bmsc, bm_mi, bm_sv, adEdition, geoEdition, s_ecid, demdex) plus named tracker-vendor cookie matches (_pctx, _pcid, OptanonConsent, cto_bundle, uid, test_cookie, __cf_bm), satisfying the granularity requirement via retained runtime data.
Evidence refs: runtimeContext.cookies, runtimeContext.trackerVendors</x:t>
  </x:si>
  <x:si>
    <x:t xml:space="preserve">Fable 5 seed — Identifiable cookie names are retained. Evidence: ng_geolocation, akaas_NBCNews, ak_bmsc, bm_mi, bm_sv, adEdition, s_ecid, demdex plus vendor-matched _pctx, _pcid, OptanonConsent, cto_bundle, test_cookie, __cf_bm (runtimeContext). Reasoning: A granular retained name list satisfies the rule; the Cookie Notice's category-only text is a disclosure-quality caveat. Disagreement: Mini/Sol's categorical runtime exclusion.</x:t>
  </x:si>
  <x:si>
    <x:t xml:space="preserve">The policy describes opt-out and browser signal handling, but the runtime capture shows pre-consent tracking and no visible consent controls, creating a material mismatch between policy-described controls and observed runtime behavior.
Retained evidence:
• "If you have a legally-recognized browser-based opt out preference signal turned on via your device browser (such as Global Privacy Control), we recognize such preference in accordance and to the extent required by applicable law."
• "For cookies and devices identifiers, use the toggle on the Your Privacy Choices tool to switch the 'Allow Sale/Share/Targeted Ads' toggle ... to OFF"
Evidence refs: policy_surface_228175e7, policy_surface_2f944550, policy_surface_44827012
Reason codes: POLICY_RUNTIME_MISMATCH, PRECONSENT_TRACKING_OBSERVED_WITHOUT_VISIBLE_CONTROLS
Mini confidence: 89%</x:t>
  </x:si>
  <x:si>
    <x:t xml:space="preserve">The retained notices disclose first- and third-party cookies and advertising or analytics technologies, while runtime evidence records third-party tracking and third-party cookies. No retained policy passage promises that such technologies are withheld until consent, so the absence of a detected consent banner does not create a direct material contradiction on this packet.
Retained evidence:
• We and our service providers, advertisers, and other third parties use cookies and similar technologies
• Certain third parties may place their Cookies on your device and use them to recognize your device when you visit the Services and when you visit other websites or online services.
Evidence refs: policy_surface_228175e7, policy_surface_44827012
Reason codes: POLICY_DISCLOSES_THIRD_PARTY_TRACKING, RUNTIME_CONFIRMS_THIRD_PARTY_TRACKING, NO_MATERIAL_POLICY_RUNTIME_CONTRADICTION_RETAINED
5.6 Sol confidence: 95%</x:t>
  </x:si>
  <x:si>
    <x:t xml:space="preserve">Retained policy text frames cookie/advertising activity as consent- and choice-governed (Cookie Settings link, IAB Europe TCF participation, named ad-vendor opt-out pages), implying gated advertising cookie behavior. Retained runtime evidence directly contradicts this: preConsentTrackingObserved and thirdPartyCookiesPreConsentObserved are true, third-party advertising trackers (e.g., Adobe 'demdex' at 4447ms/5307ms) fire pre-consent, and no consent banner or accept/reject/manage-preferences controls are observed (consentBannerLikelyPresent=false, consentUi.likelyPresent=false) despite a detected OneTrust CMP. This is a material, retained contradiction between the policy's implied consent-gating and observed pre-consent third-party ad track…
Evidence refs: policy_surface_44827012, runtimeContext.preconsent, runtimeContext.consentUi, runtimeContext.cmp, runtimeContext.trackerVendors</x:t>
  </x:si>
  <x:si>
    <x:t xml:space="preserve">Fable 5 seed — Strong retained contradiction: policy-described controls absent while ad tracking fired pre-consent. Evidence: policy directs users to a "Your Privacy Choices" toggle, GPC recognition, and TCF participation (policy_surface_44827012); runtime shows preConsentTracking and thirdPartyCookiesPreConsent true (Adobe demdex ~4.4s), OneTrust detected but consentBannerLikelyPresent=false, no controls observed. Reasoning: Represented choice mechanics were not found while gated behavior ran anyway — both sides retained. Disagreement: Sol's observed never addresses the missing represented controls.</x:t>
  </x:si>
  <x:si>
    <x:t xml:space="preserve">Retained runtime evidence lists specific named cookies (ab_experiments, is-bot, NEXT_LOCALE) with associated domains, constituting a granular named-storage inventory rather than a category-only description. Coverage is limited to first-party technical cookies with unknown purpose and does not extend to cookies for the detected third-party tracker vendors (e.g., Google Analytics, Google Ads/DoubleClick, Klaviyo), which is noted as a scope limitation.
Evidence refs: runtimeContext.cookies</x:t>
  </x:si>
  <x:si>
    <x:t xml:space="preserve">Fable 5 seed — Identifiable cookie names are retained, though few. Evidence: ab_experiments, is-bot, NEXT_LOCALE with domains (runtimeContext.cookies). Reasoning: Retained evidence lists identifiable names per the rule; the list is small, purposes unknown, and excludes cookies for detected ad vendors — hence Low confidence and a re-scan flag. Disagreement: Mini/Sol exclude runtime names; their coverage concern is reflected in the confidence, not the decision.</x:t>
  </x:si>
  <x:si>
    <x:t xml:space="preserve">oxfam-root-20260725</x:t>
  </x:si>
  <x:si>
    <x:t xml:space="preserve">conflicting
(Sol + Sonnet)</x:t>
  </x:si>
  <x:si>
    <x:t xml:space="preserve">The policy expressly describes transfers outside the user’s jurisdiction and names safeguards for EU/EEA transfers.
Retained evidence:
• "In some cases, we may transfer your personal data to members of the Oxfam confederation and third-party service providers who are located outside your jurisdiction."
• "If you are in the European Union, and your personal data is transferred to an Oxfam Affiliate or third-party service provider outside the European Economic Area (EEA), this will occur under a safeguard mechanism recognized by the European Commission as providing adequate protection for your personal data."
Evidence refs: policy_surface_66b78aa7
Reason codes: cross_border_transfer_statement, transfer_safeguard_named
Mini confidence: 98%</x:t>
  </x:si>
  <x:si>
    <x:t xml:space="preserve">The policy directly discloses international transfers and model-clause safeguards. It also invokes EU-US Privacy Shield certification, while the authoritative supplied registry marks that framework invalidated, creating a material framework-validity conflict. This is an evidence classification, not a legal determination.
Retained evidence:
• “In some cases, we may transfer your personal data to members of the Oxfam confederation and third-party service providers who are located outside your jurisdiction.”
• “Transfers to Oxfam Affiliates will occur under the EC’s model data protection clauses. You may ask to see a copy of these clauses.”
Evidence refs: policy_surface_66b78aa7
Reason codes: INTERNATIONAL_TRANSFERS_DISCLOSED, MODEL_CLAUSES_DISCLOSED, INVALIDATED_FRAMEWORK_REFERENCED, AUTHORITATIVE_REGISTRY_CONFLICT
5.6 Sol confidence: 98%</x:t>
  </x:si>
  <x:si>
    <x:t xml:space="preserve">Policy discloses transfers to Oxfam Affiliates/third-party providers outside the EEA under EC-recognized safeguard mechanisms (model/SCC clauses), a currently valid mechanism. However, it also states the donation payment provider is 'certified under the EU-US Privacy Shield,' a framework invalidated by the CJEU in 2020 and superseded by the EU-US Data Privacy Framework well before the 2026-07-25 scan date. Citing an obsolete, legally defunct transfer mechanism as an active safeguard alongside a current SCC-based mechanism is a material inconsistency.
Evidence refs: policy_surface_66b78aa7</x:t>
  </x:si>
  <x:si>
    <x:t xml:space="preserve">Fable 5 seed — Strong retained inconsistency: a valid mechanism cited alongside an invalidated one. Evidence: transfers to Affiliates "under the EC's model data protection clauses" plus payment provider "certified under the EU-US Privacy Shield" (policy_surface_66b78aa7). Reasoning: Privacy Shield was invalidated in July 2020 and superseded by the EU-US DPF long before the 2026-07-25 scan; the rules bar counting stale framework language as affirmative disclosure and this is a material retained contradiction, flagged as a review signal. Disagreement: Mini's observed credits the defunct framework.</x:t>
  </x:si>
  <x:si>
    <x:t xml:space="preserve">The privacy policy discloses sharing with other Oxfam members and third-party processors, and the cookie notice names multiple third-party providers/cookies.
Retained evidence:
• "We may share your information with other members of the Oxfam confederation."
• "We may also share your information with third parties who process data on our behalf"
Evidence refs: policy_surface_66b78aa7, policy_surface_413f7cff
Reason codes: third_party_sharing_statement, processor_disclosure, named_third_party_cookies
Mini confidence: 96%</x:t>
  </x:si>
  <x:si>
    <x:t xml:space="preserve">The retained policies substantively name several service providers. However, runtime evidence identifies multiple additional vendors absent from a cookie inventory presented as listing the cookies used, producing a material disclosure mismatch.
Retained evidence:
• “Cookie name: __stripe_mid. Provider: Stripe.”
• “Cookie name: _grecaptcha. Provider: google.com (Recaptcha).”
Evidence refs: policy_surface_413f7cff, policy_surface_66b78aa7
Reason codes: NAMED_SERVICE_PROVIDERS, VENDOR_INVENTORY_PRESENTED, RUNTIME_VENDORS_MISSING_FROM_POLICY
5.6 Sol confidence: 97%</x:t>
  </x:si>
  <x:si>
    <x:t xml:space="preserve">Cookie policy names specific processors/recipients with purposes (Stripe for payments, Google Analytics/Recaptcha/YouTube, Fundraise Up, Usabilla), going beyond generic 'we may share your data' language. Privacy policy supplements this with named recipient categories (Oxfam confederation members, contractually-bound processors).
Evidence refs: policy_surface_413f7cff, policy_surface_66b78aa7</x:t>
  </x:si>
  <x:si>
    <x:t xml:space="preserve">Fable 5 seed — Named vendors and recipient categories are disclosed. Evidence: Stripe, Google (Analytics/Recaptcha/YouTube), Fundraise Up, Usabilla with purposes (policy_surface_413f7cff); plus Oxfam confederation members and contract-bound processors (policy_surface_66b78aa7). Reasoning: Named processors with purposes decisively exceed the bar. Disagreement: Sol's conflicting imports a runtime-completeness mismatch that belongs to the consistency topic (row 55).</x:t>
  </x:si>
  <x:si>
    <x:t xml:space="preserve">The cookie notice explicitly names specific cookie identifiers and associated providers/expiries/purposes.
Retained evidence:
• "Cookie name Provider Expiry Purpose __stripe_mid Stripe 1 year"
• "Cookie name Provider Expiry Purpose __stripe_sid Stripe 1 year"
Evidence refs: policy_surface_413f7cff
Reason codes: specific_cookie_identifiers_named
Mini confidence: 99%</x:t>
  </x:si>
  <x:si>
    <x:t xml:space="preserve">The retained cookie policy names numerous specific cookie identifiers, satisfying inventory evidence. However, runtime evidence identifies multiple additional cookies absent from a policy that represents its listed cookies as the cookies used, creating a material policy/runtime discrepancy.
Retained evidence:
• “Cookie name: __stripe_mid. Provider: Stripe. Expiry: 1 year.”
• “Cookie name: _gid. Provider: google.com (Anonymous analytics). Expiry: 1 day.”
Evidence refs: policy_surface_413f7cff
Reason codes: SPECIFIC_COOKIE_IDENTIFIERS_NAMED, COOKIE_LIST_PRESENTED_AS_INVENTORY, RUNTIME_COOKIES_MISSING_FROM_POLICY
5.6 Sol confidence: 98%</x:t>
  </x:si>
  <x:si>
    <x:t xml:space="preserve">Cookie policy provides a granular named-cookie table (e.g., __stripe_mid, __stripe_sid, _grecaptcha, _ga_, _gid, CookieConsent, fundraiseup_cid, CONSENT, VISITOR_INFO1_LIVE, NID, usbl.#.c.#, etc.) with provider, expiry, and purpose for both essential and non-essential categories, satisfying the granular inventory standard.
Evidence refs: policy_surface_413f7cff</x:t>
  </x:si>
  <x:si>
    <x:t xml:space="preserve">Fable 5 seed — A granular named-cookie table is disclosed in the policy itself. Evidence: name/provider/expiry/purpose table (__stripe_mid, __stripe_sid, _grecaptcha, _ga_, _gid, CookieConsent, fundraiseup_cid, VISITOR_INFO1_LIVE, etc.) (policy_surface_413f7cff). Reasoning: Exactly the identifiable named-cookie inventory the rule requires, in the disclosure surface. Disagreement: Sol's conflicting again imports the runtime-completeness issue that belongs under row 55.</x:t>
  </x:si>
  <x:si>
    <x:t xml:space="preserve">oxfam-www-20260725</x:t>
  </x:si>
  <x:si>
    <x:t xml:space="preserve">The retained notices expressly describe transfers outside the user’s jurisdiction and to the United States, including a safeguard mechanism for EEA transfers.
Retained evidence:
• "In some cases, we may transfer your personal data to members of the Oxfam confederation and third-party service providers who are located outside your jurisdiction."
• "If you are in the European Union, and your personal data is transferred to an Oxfam Affiliate or third-party service provider outside the European Economic Area (EEA), this will occur under a safeguard mechanism recognized by the European Commission as providing adequate protection for your personal data."
Evidence refs: policy_surface_66b78aa7, policy_surface_c6e5a2a9
Reason codes: CROSS_BORDER_TRANSFER, SAFEGUARD_MECHANISM, US_TRANSFER
Mini confidence: 98%</x:t>
  </x:si>
  <x:si>
    <x:t xml:space="preserve">The retained policies disclose cross-border transfers and transfer safeguards. One passage represents a payment provider as certified under the EU-US Privacy Shield, while the authoritative framework registry marks that framework invalidated.
Retained evidence:
• In some cases, we may transfer your personal data to members of the Oxfam confederation and third-party service providers who are located outside your jurisdiction.
• Transfers to Oxfam Affiliates will occur under the EC’s model data protection clauses. You may ask to see a copy of these clauses.
Evidence refs: policy_surface_66b78aa7, policy_surface_c6e5a2a9
Reason codes: CROSS_BORDER_TRANSFERS_DISCLOSED, MODEL_CLAUSES_DISCLOSED, INVALIDATED_TRANSFER_FRAMEWORK_CLAIM
5.6 Sol confidence: 98%</x:t>
  </x:si>
  <x:si>
    <x:t xml:space="preserve">The policy names destinations (Oxfam confederation members and third-party providers outside the data subject's jurisdiction) and a current-sounding mechanism (EEA transfers to Affiliates under 'EC's model data protection clauses', described as an EC-recognized adequacy safeguard), plus a US-transfer disclosure in the Oxfam America notice. However, the same retained text also states the payment provider is 'certified under the EU-US Privacy Shield,' a mechanism invalidated by the CJEU in July 2020 and superseded by the EU-US Data Privacy Framework (2023), well before this 2026-07-25 scan date. Citing an invalidated framework as a current safeguard alongside claims of EC-recognized adequate protection is a material, retained inconsistency a…
Evidence refs: policy_surface_66b78aa7, policy_surface_c6e5a2a9</x:t>
  </x:si>
  <x:si>
    <x:t xml:space="preserve">Fable 5 seed — Same invalidated-framework inconsistency on the www surface. Evidence: SCC/model-clause disclosure plus "certified under the EU-US Privacy Shield" (policy_surface_66b78aa7, c6e5a2a9) against a 2026-07-25 scan date. Reasoning: Citing a CJEU-invalidated mechanism as an active safeguard alongside current-mechanism claims is a material retained inconsistency — a review signal, not a legal determination. Disagreement: Mini's observed counts the stale framework as affirmative transfer disclosure.</x:t>
  </x:si>
  <x:si>
    <x:t xml:space="preserve">The runtime evidence shows pre-consent third-party tracking and advertising-related cookies, which materially extends beyond the policy’s general cookie and marketing disclosures.
Retained evidence:
• Policy: "We never sell or share your information with entities outside Oxfam for their marketing purposes."
• Policy: "We will only contact you for marketing purposes ... where we have your consent."
Evidence refs: policy_surface_66b78aa7, policy_surface_413f7cff
Reason codes: RUNTIME_PRECONSENT_TRACKING, THIRD_PARTY_COOKIES, BEHAVIORAL_ANALYTICS, ADVERTISING_TRACKING
Mini confidence: 91%</x:t>
  </x:si>
  <x:si>
    <x:t xml:space="preserve">Runtime evidence records pre-consent tracking, third-party cookies, advertising and analytics technologies, and no captured consent UI evidence. However, the packet combines oxfam.org and oxfamamerica.org documents and runtime signals, and the runtime consent capture is expressly recorded as “no_evidence.” The retained evidence therefore does not support a reliable same-surface consistency or conflict conclusion.
Retained evidence:
• When you first visit our website, a message will appear giving you the opportunity to accept all cookies or decline the use of cookies as you use the website.
• We and third parties that provide content or functionality on our Sites, may use cookies, pixel tags, and similar technologies to automatically collect information.
Evidence refs: policy_surface_413f7cff, policy_surface_c6e5a2a9
Reason codes: MIXED_WEBSITE_SCOPE, RUNTIME_TARGET_NOT_UNAMBIGUOUS, CONSENT_UI_CAPTURE_NO_EVIDENCE, PRECONSENT_TRACKING_OBSERVED
5.6 Sol confidence: 78%</x:t>
  </x:si>
  <x:si>
    <x:t xml:space="preserve">The retained cookie policy states a consent banner appears on first visit letting users accept or decline cookies, and its inventory names only Stripe, Google (reCAPTCHA/Analytics/YouTube/Ads), Fundraise Up, and Usabilla as recipients. Retained runtime evidence shows no consent banner was actually detected (consentUi.captureStatus 'no_evidence', likelyPresent false, no visible choice labels; preconsent.consentBannerLikelyPresent false) while preconsent.thirdPartyVendorsObserved, preConsentTrackingObserved, and thirdPartyCookiesPreConsentObserved are all true, and sessionReplayOrBehavioralAnalyticsObserved is true. Runtime trackerVendors/cookies also show numerous undisclosed third parties absent from the cookie inventory -- HubSpot (banner…
Evidence refs: policy_surface_413f7cff, policy_surface_66b78aa7, runtimeContext.consentUi[0], runtimeContext.preconsent, runtimeContext.trackerVendors, runtimeContext.cookies</x:t>
  </x:si>
  <x:si>
    <x:t xml:space="preserve">Fable 5 seed — Strong retained contradiction: a promised first-visit consent banner that runtime never found. Evidence: "a message will appear giving you the opportunity to accept all cookies or decline" (policy_surface_413f7cff); runtime consentUi captureStatus 'no_evidence', likelyPresent=false, with preConsentTracking, thirdPartyCookiesPreConsent, and sessionReplay all true plus undisclosed vendors (e.g., HubSpot) beyond the cookie table. Reasoning: A concrete representation is contradicted by retained runtime capture. Disagreement: Sol's mixed-scope caveat moderates confidence but does not neutralize the banner contradiction.</x:t>
  </x:si>
  <x:si>
    <x:t xml:space="preserve">The retained text includes an explicit retention-period discussion for known underage users and a cookie retention statement that the cookie data is held on the device.
Retained evidence:
• "the table below describes the limited types of information SEGA may use for known underage users, the purpose or business need of the information, and the data retention period of the information."
• "Retention period Whenever Cookies are dropped during your use of our Websites, the data/information within the Cookie is held on your device"
Evidence refs: policy_surface_a139c595, policy_surface_b3469665
Reason codes: RETENTION_PERIOD_EXPRESSLY_LISTED
Mini confidence: 93%</x:t>
  </x:si>
  <x:si>
    <x:t xml:space="preserve">The retained passages introduce retention information, but the capture omits the referenced table values and truncates the cookie-retention explanation before a period or criterion is stated. Absence of substantive retention details may therefore result from incomplete capture.
Retained evidence:
• The table below describes the limited types of information SEGA may use for known underage users, the purpose or business need of the information, and the data retention period of the information.
• Retention period Whenever Cookies are dropped during your use of our Websites, the data/information within the Cookie is held on your device
Evidence refs: policy_surface_a139c595, policy_surface_b3469665
Reason codes: RETENTION_SECTION_PARTIALLY_CAPTURED, REFERENCED_TABLE_VALUES_NOT_RETAINED, TEXT_TRUNCATED
5.6 Sol confidence: 90%</x:t>
  </x:si>
  <x:si>
    <x:t xml:space="preserve">Retained excerpts only reference retention concepts without capturing the substantive content: the privacy policy alludes to 'the data retention period of the information' in a table (table contents not retained), and the cookie policy has a 'Retention period' heading followed by text that is truncated before any period or criteria is stated. The actual periods/criteria needed to apply the standard were not retained.
Evidence refs: policy_surface_a139c595, policy_surface_b3469665</x:t>
  </x:si>
  <x:si>
    <x:t xml:space="preserve">Email unsubscribe or advertising opt-out language does not establish substantive data-subject rights such as access, correction, deletion, objection, portability, or complaint rights.
Reason codes: preference_or_opt_out_language_without_substantive_rights
Mini confidence: 80%</x:t>
  </x:si>
  <x:si>
    <x:t xml:space="preserve">Retained text discloses a Global Privacy Control-based opt-out right covering sale/sharing/targeted-advertising processing under applicable law, a marketing-communications unsubscribe (objection) mechanism, and an EEA/UK right to refer unresolved complaints to a data protection supervisory authority. These are substantive rights distinct from a mere cookie-preference tool.
Evidence refs: policy_surface_a139c595</x:t>
  </x:si>
  <x:si>
    <x:t xml:space="preserve">Fable 5 seed — Substantive rights beyond opt-out preferences are retained. Evidence: GPC-based opt-out of sale/sharing/targeted advertising under applicable law, marketing unsubscribe, and an EEA/UK right to refer complaints to a supervisory authority (policy_surface_a139c595). Reasoning: A supervisory-authority complaint right and a statutory opt-out are enumerated data-subject rights. Disagreement: Mini/Sol applied an opt-out-only template without engaging the complaint-referral passage; majority rejected.</x:t>
  </x:si>
  <x:si>
    <x:t xml:space="preserve">The runtime shows cookies and pre-consent tracking activity that are not specifically named in the retained policy text, creating a material mismatch between runtime observations and policy disclosures.
Retained evidence:
• "We, and/or our service providers may use cookies and similar technologies..."
• "SEGA uses a range of technical tools, including advertising IDs, CAPIs, tags, web beacons, tracking pixels, and cookies..."
Evidence refs: policy_surface_a139c595, policy_surface_b3469665
Reason codes: RUNTIME_COOKIES_NOT_NAMED_IN_POLICY, PRECONSENT_TRACKING_OBSERVED
Mini confidence: 91%</x:t>
  </x:si>
  <x:si>
    <x:t xml:space="preserve">Runtime evidence shows pre-consent contact with an advertising vendor, while the policy describes consent before non-essential cookie storage. No third-party cookies were observed before consent, and the retained evidence does not establish whether the advertising request stored a cookie or whether consent had another applicable state. The evidence therefore does not establish either material consistency or a direct conflict.
Retained evidence:
• With the exception of Strictly Necessary Cookies (which we use on the basis of our legitimate interests), you will be asked to consent to the storage of Cookies on your device when you interact with one of our Websites.
• preConsentTrackingObserved: true; thirdPartyVendorsObserved: true; thirdPartyCookiesPreConsentObserved: false
Evidence refs: policy_surface_b3469665
Reason codes: PRECONSENT_ADVERTISING_ENDPOINT_OBSERVED, NO_THIRD_PARTY_COOKIE_PRECONSENT_OBSERVED, CONSENT_CAPTURE_STATUS_UNRESOLVED, NO_CONCLUSIVE_POLICY_RUNTIME_CONTRADICTION
5.6 Sol confidence: 82%</x:t>
  </x:si>
  <x:si>
    <x:t xml:space="preserve">The cookie policy states that, apart from Strictly Necessary cookies, storage (including Marketing cookies/CAPIs) requires prior consent via a consent tool. Retained runtime evidence flags preConsentTrackingObserved=true and thirdPartyVendorsObserved=true, with active advertising/tag-management vendors (Google Tag Manager, Google AdSense, Google Ads/DoubleClick) detected, alongside a consent UI where no 'Accept' control was observed (only 'I Do Not Accept' and 'Set cookie preferences' labels captured). This is a material contradiction between the disclosed consent-gating of non-essential trackers and the observed pre-consent tracker activity, even though third-party cookies specifically were not flagged as set pre-consent.
Evidence refs: policy_surface_b3469665, runtimeContext.preconsent.preConsentTrackingObserved, runtimeContext.preconsent.thirdPartyVendorsObserved, runtimeContext.trackerVendors, runtimeContext.consentUi</x:t>
  </x:si>
  <x:si>
    <x:t xml:space="preserve">Fable 5 seed — The storage-specific consent promise is not contradicted by retained runtime facts. Evidence: policy gates "the storage of Cookies" (except strictly necessary) on consent (policy_surface_b3469665); runtime shows thirdPartyCookiesPreConsentObserved=false — no pre-consent cookie storage — with pre-consent vendor requests noted. Reasoning: The retained promise concerns storage, and storage was not observed pre-consent, so the retained packet shows consistency on the actual representation; pre-consent vendor contact is flagged as a follow-up signal. Disagreement: Mini/Sonnet's conflicting extends the storage promise to all tracker activity, beyond the retained text; majority rejected.</x:t>
  </x:si>
  <x:si>
    <x:t xml:space="preserve">sonymcs-20260626</x:t>
  </x:si>
  <x:si>
    <x:t xml:space="preserve">Retained runtime evidence includes a granular named-cookie/storage inventory spanning multiple third-party domains, e.g. __cf_bm (g2crowd.com, security), bcookie/li_gc/lidc (linkedin.com, advertising/unknown), and on .cimediacloud.com: _rdt_uuid, _hp2_id.1176624249, _hp2_ses_props.1176624249 (unknown), plus _ga, _ga_HMD5WKX8SG, _ga_2YKWNLLBJP, _ga_8GRRL10YHF (analytics). Each entry has a specific cookie name, domain, and purpose tag, meeting the granular named-cookie standard.
Evidence refs: runtimeContext.cookies[0], runtimeContext.cookies[1], runtimeContext.cookies[2], runtimeContext.cookies[3], runtimeContext.cookies[13], runtimeContext.cookies[14], runtimeContext.cookies[15], runtimeContext.cookies[16], runtimeContext.cookies[18], runtimeContext.cookies[19]</x:t>
  </x:si>
  <x:si>
    <x:t xml:space="preserve">Fable 5 seed — Identifiable cookie names are retained. Evidence: __cf_bm, bcookie/li_gc/lidc, _rdt_uuid, _hp2_id/_hp2_ses_props, _ga and _ga_* variants with domains and purpose tags (runtimeContext.cookies). Reasoning: A granular retained name list satisfies the rule; no policy cookie table was retained, noted as a disclosure-quality caveat. Disagreement: Mini/Sol's categorical runtime exclusion.</x:t>
  </x:si>
  <x:si>
    <x:t xml:space="preserve">vogue-20260701</x:t>
  </x:si>
  <x:si>
    <x:t xml:space="preserve">The retained policy includes a retention rule tied to purpose necessity and proportionality, with an exception for longer periods required or allowed by law.
Retained evidence:
• "9. Retention. ... reasonably necessary and proportionate to achieve the purpose(s) for which the Personal Information was collected or processed as outlined in this Privacy Policy unless a longer retention period is required or allowed by law."
Evidence refs: policy_surface_96906465, policy_surface_74e43122
Reason codes: RETENTION_PERIOD_STATED
Mini confidence: 96%</x:t>
  </x:si>
  <x:si>
    <x:t xml:space="preserve">The retained policy states a substantive retention criterion tied to necessity, proportionality, processing purposes, and legally required or permitted longer periods.
Retained evidence:
• 9. Retention. s reasonably necessary and proportionate to achieve the purpose(s) for which the Personal Information was collected or processed as outlined in this Privacy Policy unless a longer retention period is required or allowed by law.
Evidence refs: policy_surface_74e43122
Reason codes: RETENTION_CRITERIA_DISCLOSED
5.6 Sol confidence: 98%</x:t>
  </x:si>
  <x:si>
    <x:t xml:space="preserve">Section 9 ('Retention') states data is kept only as 'reasonably necessary and proportionate to achieve the purpose(s) for which the Personal Information was collected or processed... unless a longer retention period is required or allowed by law.' No specific period or data-category-linked criteria is given; this is the generic necessity formulation the standard treats as ambiguous absent added substance.
Evidence refs: policy_surface_96906465, policy_surface_74e43122</x:t>
  </x:si>
  <x:si>
    <x:t xml:space="preserve">Fable 5 seed — A retention criterion is stated in the policy's dedicated section. Evidence: §9 Retention: data kept as "reasonably necessary and proportionate to achieve the purpose(s)... unless a longer retention period is required or allowed by law" (policy_surface_74e43122). Reasoning: A purpose-necessity-plus-proportionality criterion with a legal-hold exception is a retention disclosure in substance, though generic — noted for the reviewer. Disagreement: Sonnet's ambiguous applies the boilerplate discount; under the finality preference the stated criterion carries the intent of the topic.</x:t>
  </x:si>
  <x:si>
    <x:t xml:space="preserve">A section heading for international transfers is retained, but no substantive transfer mechanism, destinations, or safeguards text is retained in the captured excerpts.
Retained evidence:
• "13. International Transfers."
Evidence refs: policy_surface_96906465, policy_surface_74e43122
Reason codes: SECTION_HEADING_ONLY, NO_SUBSTANTIVE_TRANSFER_TEXT_RETAINED
Mini confidence: 74%</x:t>
  </x:si>
  <x:si>
    <x:t xml:space="preserve">The capture identifies an International Transfers section, but no coherent substantive transfer passage was retained. The truncated section could omit relevant terms, safeguards, destinations, or mechanisms, so absence cannot be assessed with sufficient coverage.
Retained evidence:
• [Table of Contents] Categories of Personal Information We Collect About You How We Use Your Personal Information How We Disclose the Personal Information We Collect Tracking Techniques and Technologies and Targeted Advertising Opting-Out of Third-Party Tracking Technologies Understanding Your Privacy Rights and Choices Exercising Your Privacy Righ…
• 13. International Transfers. tact us as noted in the Contact Us section of this Privacy Policy.
Evidence refs: policy_surface_74e43122
Reason codes: SECTION_HEADING_ONLY, TRANSFER_SECTION_TRUNCATED, INCOMPLETE_CAPTURE
5.6 Sol confidence: 97%</x:t>
  </x:si>
  <x:si>
    <x:t xml:space="preserve">A '13. International Transfers' heading appears twice in the retained text (also listed in the Table of Contents), giving adequate coverage of this section of the document, but in both retained instances the heading is immediately followed by unrelated legal-basis/contact-us content rather than any destination, transfer circumstance, or transfer mechanism. No transfer mechanism (current or obsolete, e.g. SCCs, adequacy, Privacy Shield) is present anywhere in the retained evidence.
Evidence refs: policy_surface_96906465, policy_surface_74e43122</x:t>
  </x:si>
  <x:si>
    <x:t xml:space="preserve">Fable 5 seed — No transfer substance appears despite the section being reached twice. Evidence: "13. International Transfers." appears in the ToC and in-body, each time followed by legal-basis/contact-us content with no destinations, circumstances, or mechanisms anywhere in either retained document (policy_surface_96906465, 74e43122). Reasoning: Two passes over the section produced no transfer language and no framework claims exist to evaluate — the majority's final call. Caveat: the heading-then-unrelated-text pattern suggests extraction damage; a re-capture is advisable. Disagreement: Sol's insufficient is defensible but less actionable.</x:t>
  </x:si>
  <x:si>
    <x:t xml:space="preserve">The policy references GPC and browser-based opt-out signals, while runtime evidence shows a CMP and pre-consent tracking activity; these are directionally consistent rather than contradictory.
Retained evidence:
• Policy: "We honor the GPC and where required by law, similar user-initiated browser based opt-out preference signals."
• Runtime: "cmp" observed with "Sourcepoint CMP"; "consentBannerLikelyPresent": true; "thirdPartyCookiesPreConsentObserved": true; "preConsentTrackingObserved": true.
Evidence refs: policy_surface_96906465, policy_surface_74e43122
Reason codes: POLICY_AND_RUNTIME_BOTH_INDICATE_TRACKING_OPT_OUT_OR_CONSENT_FLOW
Mini confidence: 90%</x:t>
  </x:si>
  <x:si>
    <x:t xml:space="preserve">Retained runtime evidence shows Google, Meta, TikTok, and LinkedIn-related advertising technologies, while the policy expressly discusses Google tracking and names Meta, TikTok, and LinkedIn among disclosure recipients. No retained passage makes the vendor list exhaustive, and no material contradiction is established.
Retained evidence:
• Google uses Tracking Technologies and Activity and Device Information in combination with information they maintain to show you Targeted Advertising on our websites and mobile apps.
• Where We May Share Your Personal Information To fulfill all the purposes described in our Privacy Policy, we may need to share your Personal Information with our subsidiaries, service providers, social media companies such as Meta (Facebook &amp; Instagram), YouTube, TikTok, Pinterest, LinkedIn, and X, third-party cons
Evidence refs: policy_surface_74e43122, policy_surface_19e34a0d
Reason codes: POLICY_RUNTIME_VENDOR_OVERLAP, ADVERTISING_ACTIVITY_ALIGNS_WITH_DISCLOSURE, NO_MATERIAL_CONTRADICTION_RETAINED
5.6 Sol confidence: 90%</x:t>
  </x:si>
  <x:si>
    <x:t xml:space="preserve">Policy text conditions use of Personal Information on consent 'where required by applicable law' and describes GPC/opt-out honoring, implying a functioning consent gate for third-party advertising use. Retained runtime evidence shows a CMP is detected (Sourcepoint) and a consent banner is likely present, yet no accept, reject, or manage-preferences controls were actually observed, while preconsent.thirdPartyVendorsObserved, preConsentTrackingObserved, and thirdPartyCookiesPreConsentObserved are all true, with numerous third-party advertising vendors (Google Ads/DoubleClick, Meta Pixel, TikTok Pixel, LinkedIn, Snap, Criteo, The Trade Desk, Amazon Ads, Magnite, Index Exchange, Tapad) firing before any consent interaction. This is a material …
Evidence refs: policy_surface_96906465, runtimeContext.cmp, runtimeContext.consentUi, runtimeContext.preconsent, runtimeContext.trackerVendors</x:t>
  </x:si>
  <x:si>
    <x:t xml:space="preserve">Fable 5 seed — Disclosed opt-out/advertising model aligns with runtime under a US framework. Evidence: policy honors GPC and names Google, Meta, TikTok, LinkedIn among recipients; runtime shows those vendors plus a Sourcepoint CMP with banner likely present. Reasoning: The consent language is conditional ("where required by applicable law") within a CPRA-style opt-out model, so pre-consent tracking does not contradict a retained representation. Disagreement: Sonnet's conflicting infers a universal consent gate the text never promises; unobserved banner controls remain a capture-quality note.</x:t>
  </x:si>
  <x:si>
    <x:t xml:space="preserve">The retained packet does not include substantive legal-basis language for processing; the captured text is dominated by product/marketing content.
Evidence refs: policy_surface_8e5890bd_privacy_alias, policy_surface_dcd6ac83_privacy_alias, policy_surface_9bb50c6, policy_surface_65f97419, policy_surface_629365bf, policy_surface_95be159c
Reason codes: NO_SUBSTANTIVE_LEGAL_BASIS_TEXT_RETAINED
Mini confidence: 18%</x:t>
  </x:si>
  <x:si>
    <x:t xml:space="preserve">The newsletter call to action does not state a legal basis, and the candidate privacy URLs did not yield usable policy text. Relevant legal-basis language may have been omitted by the capture.
Retained evidence:
• [Der neue ID.3 Neo]
Entdecke den neuen ID.3 Neo und melde dich zum Newsletter an um keine weiteren Infos zu verpassen.
Evidence refs: policy_surface_8e5890bd_privacy_alias, policy_surface_dcd6ac83_privacy_alias, policy_surface_9bb50c6, policy_surface_65f97419, policy_surface_629365bf, policy_surface_95be159c
Reason codes: PRIVACY_SURFACE_CAPTURED_NON_POLICY_CONTENT, NO_LEGAL_BASIS_PASSAGE_RETAINED, INCOMPLETE_POLICY_COVERAGE
5.6 Sol confidence: 99%</x:t>
  </x:si>
  <x:si>
    <x:t xml:space="preserve">None of the retained privacy-policy-labeled documents mention consent, contract, legal obligation, vital interests, public task, or legitimate interests; all retained text is marketing/product content with no legal-basis language.
Evidence refs: policy_surface_8e5890bd_privacy_alias, policy_surface_dcd6ac83_privacy_alias, policy_surface_9bb50c6, policy_surface_65f97419, policy_surface_629365bf, policy_surface_95be159c</x:t>
  </x:si>
  <x:si>
    <x:t xml:space="preserve">Fable 5 seed — No legal-basis language in the retained corpus. Evidence: none of the six retained documents mentions consent, contract, legal obligation, vital interests, public task, or legitimate interests. Reasoning: Taking the corpus at face value, the topic is unaddressed (Sonnet's call). Re-scan caveat: all privacy URLs returned marketing pages. Disagreement: Mini/Sol's insufficient is defensible but non-final; the caveat preserves their concern.</x:t>
  </x:si>
  <x:si>
    <x:t xml:space="preserve">No retained passage addresses storage periods, retention criteria, or deletion timing.
Evidence refs: policy_surface_8e5890bd_privacy_alias, policy_surface_dcd6ac83_privacy_alias, policy_surface_9bb50c6, policy_surface_65f97419, policy_surface_629365bf, policy_surface_95be159c
Reason codes: NO_RETENTION_POLICY_TEXT_RETAINED
Mini confidence: 16%</x:t>
  </x:si>
  <x:si>
    <x:t xml:space="preserve">The retained privacy-policy URLs contain vehicle-marketing material and no usable privacy-policy text. A retention disclosure may have been missed because the relevant policy content was not captured.
Retained evidence:
• [Der ID. Polo]
Ab € 33.790,00 inkl. MwSt. Mehr zum ID. Polo Jetzt ID. Polo konfigurieren ID. Polo Infomaterial herunterladen
Evidence refs: policy_surface_8e5890bd_privacy_alias, policy_surface_dcd6ac83_privacy_alias, policy_surface_9bb50c6, policy_surface_65f97419, policy_surface_629365bf, policy_surface_95be159c
Reason codes: PRIVACY_SURFACE_CAPTURED_NON_POLICY_CONTENT, NO_RETENTION_PASSAGE_RETAINED, INCOMPLETE_POLICY_COVERAGE
5.6 Sol confidence: 99%</x:t>
  </x:si>
  <x:si>
    <x:t xml:space="preserve">Retained documents contain no retention periods or criteria of any kind; the text is entirely vehicle marketing content, not policy disclosure content.
Evidence refs: policy_surface_8e5890bd_privacy_alias, policy_surface_dcd6ac83_privacy_alias, policy_surface_9bb50c6, policy_surface_65f97419, policy_surface_629365bf, policy_surface_95be159c</x:t>
  </x:si>
  <x:si>
    <x:t xml:space="preserve">Fable 5 seed — No retention periods or criteria of any kind in the retained corpus. Evidence: all six documents are vehicle-marketing content. Reasoning: The topic is unaddressed in what was captured; re-scan caveat as in row 63. Disagreement: Mini/Sol's insufficient carries the capture concern, retained here as a caveat rather than the verdict.</x:t>
  </x:si>
  <x:si>
    <x:t xml:space="preserve">No retained passage discusses cross-border transfers, transfer mechanisms, or recipient locations.
Evidence refs: policy_surface_8e5890bd_privacy_alias, policy_surface_dcd6ac83_privacy_alias, policy_surface_9bb50c6, policy_surface_65f97419, policy_surface_629365bf, policy_surface_95be159c
Reason codes: NO_TRANSFER_TEXT_RETAINED
Mini confidence: 17%</x:t>
  </x:si>
  <x:si>
    <x:t xml:space="preserve">The retained candidate documents are vehicle-marketing pages rather than usable privacy notices. No substantive international-transfer passage was retained, and the failed coverage prevents an absence conclusion.
Retained evidence:
• [Unsere Elektro­autos: auf Emission verzichten]
Elektromobilität wird bei Volkswagen seit vielen Jahren vorangetrieben und weiterentwickelt. Hier stellen wir dir unsere aktuellen Modelle vor.
Evidence refs: policy_surface_8e5890bd_privacy_alias, policy_surface_dcd6ac83_privacy_alias, policy_surface_9bb50c6, policy_surface_65f97419, policy_surface_629365bf, policy_surface_95be159c
Reason codes: PRIVACY_SURFACE_CAPTURED_NON_POLICY_CONTENT, NO_INTERNATIONAL_TRANSFER_PASSAGE_RETAINED, INCOMPLETE_POLICY_COVERAGE
5.6 Sol confidence: 99%</x:t>
  </x:si>
  <x:si>
    <x:t xml:space="preserve">No destinations, transfer circumstances, or mechanisms (current or obsolete) appear anywhere in the retained text; therefore no legal-framework claim exists to evaluate against scanDate, and no conflict can be identified.
Evidence refs: policy_surface_8e5890bd_privacy_alias, policy_surface_dcd6ac83_privacy_alias, policy_surface_9bb50c6, policy_surface_65f97419, policy_surface_629365bf, policy_surface_95be159c</x:t>
  </x:si>
  <x:si>
    <x:t xml:space="preserve">Fable 5 seed — No destinations, circumstances, or mechanisms (current or obsolete) anywhere in the retained corpus. Evidence: marketing-only surfaces. Reasoning: No transfer language and no framework claims exist to evaluate; re-scan caveat as in row 63. Disagreement: Mini/Sol's insufficient noted as the caveat.</x:t>
  </x:si>
  <x:si>
    <x:t xml:space="preserve">No retained passage describes access, deletion, objection, portability, complaint, or other data-subject rights.
Evidence refs: policy_surface_8e5890bd_privacy_alias, policy_surface_dcd6ac83_privacy_alias, policy_surface_9bb50c6, policy_surface_65f97419, policy_surface_629365bf, policy_surface_95be159c
Reason codes: NO_RIGHTS_TEXT_RETAINED
Mini confidence: 14%</x:t>
  </x:si>
  <x:si>
    <x:t xml:space="preserve">No usable privacy notice was retained from the candidate URLs. The captured vehicle-marketing content does not provide sufficient coverage to assess data-subject-rights disclosures.
Retained evidence:
• [Volkswagen Modelle]
Entdecke jetzt die Vielfalt unserer Modellpalette - vom Kleinwagen , über einen komfortablen Familienwagen bis hin zu SUV und Elektro-SUV .
Evidence refs: policy_surface_8e5890bd_privacy_alias, policy_surface_dcd6ac83_privacy_alias, policy_surface_9bb50c6, policy_surface_65f97419, policy_surface_629365bf, policy_surface_95be159c
Reason codes: PRIVACY_SURFACE_CAPTURED_NON_POLICY_CONTENT, NO_DATA_SUBJECT_RIGHTS_PASSAGE_RETAINED, INCOMPLETE_POLICY_COVERAGE
5.6 Sol confidence: 99%</x:t>
  </x:si>
  <x:si>
    <x:t xml:space="preserve">No rights (access, correction, deletion, restriction, portability, objection, complaint) are disclosed in any retained document; retained runtimeContext.consentUi only shows cookie-preference controls, which per the observed standard do not establish general rights coverage.
Evidence refs: policy_surface_8e5890bd_privacy_alias, policy_surface_dcd6ac83_privacy_alias, policy_surface_9bb50c6, policy_surface_65f97419, policy_surface_629365bf, policy_surface_95be159c, runtimeContext.consentUi[0]</x:t>
  </x:si>
  <x:si>
    <x:t xml:space="preserve">Fable 5 seed — No rights disclosed in any retained document. Evidence: marketing-only surfaces; runtime consentUi shows only cookie-preference controls, which do not establish rights coverage. Reasoning: Topic unaddressed in the captured corpus; re-scan caveat as in row 63. Disagreement: Mini/Sol's insufficient noted as the caveat.</x:t>
  </x:si>
  <x:si>
    <x:t xml:space="preserve">The runtime context reports no cookies, and the retained documents do not name specific cookie identifiers. Cookie inventory therefore cannot be observed from retained evidence.
Evidence refs: policy_surface_8e5890bd_privacy_alias, policy_surface_dcd6ac83_privacy_alias, policy_surface_9bb50c6, policy_surface_65f97419, policy_surface_629365bf, policy_surface_95be159c
Reason codes: NO_SPECIFIC_COOKIE_IDENTIFIERS_RETAINED
Mini confidence: 12%</x:t>
  </x:si>
  <x:si>
    <x:t xml:space="preserve">All six URLs labeled as privacy-policy surfaces retained substantially identical vehicle-marketing content rather than a cookie notice. Runtime captured no cookie identifiers. Absence of named cookies could therefore result from failed or incomplete policy capture.
Retained evidence:
• [Volkswagen Modelle]
Entdecke jetzt die Vielfalt unserer Modellpalette - vom Kleinwagen , über einen komfortablen Familienwagen bis hin zu SUV und Elektro-SUV .
• "cookies":[]
Evidence refs: policy_surface_8e5890bd_privacy_alias, policy_surface_dcd6ac83_privacy_alias, policy_surface_9bb50c6, policy_surface_65f97419, policy_surface_629365bf, policy_surface_95be159c
Reason codes: PRIVACY_SURFACE_CAPTURED_NON_POLICY_CONTENT, NO_SPECIFIC_COOKIE_IDENTIFIERS_RETAINED, INCOMPLETE_POLICY_COVERAGE
5.6 Sol confidence: 99%</x:t>
  </x:si>
  <x:si>
    <x:t xml:space="preserve">runtimeContext.cookies is an empty array and no retained document contains any named cookie or equivalent storage inventory; retained evidence is sufficient (full documents plus explicit empty cookie collection) to conclude no granular inventory is present.
Evidence refs: runtimeContext.cookies, policy_surface_8e5890bd_privacy_alias, policy_surface_9bb50c6</x:t>
  </x:si>
  <x:si>
    <x:t xml:space="preserve">Fable 5 seed — No named cookies anywhere: policy surfaces contain none and the runtime cookie array is empty. Evidence: "cookies":[] plus marketing-content documents. Reasoning: Full documents plus an explicit empty runtime collection support the absence call (Sonnet). Caveat: overall capture quality for this target is poor, so a re-scan is advisable. Disagreement: Mini/Sol's insufficient is preserved as the caveat.</x:t>
  </x:si>
  <x:si>
    <x:t xml:space="preserve">The retained policy surface is consistent with a consented marketing/product site, and runtime evidence shows a consent UI plus no observed pre-consent third-party cookies. No material contradiction is retained.
Retained evidence:
• Policy text repeatedly shows product/marketing content such as "melde dich zum Newsletter an" and "Jetzt reservieren".
• Runtime context shows "consentUi" with "Alle Cookies akzeptieren" and "Auswahl speichern" and CMP vendor "OneTrust".
Evidence refs: policy_surface_8e5890bd_privacy_alias, policy_surface_dcd6ac83_privacy_alias, policy_surface_9bb50c6, policy_surface_65f97419, policy_surface_629365bf, policy_surface_95be159c
Reason codes: POLICY_MATCHES_RUNTIME_CONSENT_UI, NO_PRECONSENT_THIRD_PARTY_COOKIE_OBSERVED
Mini confidence: 84%</x:t>
  </x:si>
  <x:si>
    <x:t xml:space="preserve">Runtime evidence identifies OneTrust CMP and Google Tag Manager, but the candidate privacy URLs retained only vehicle-marketing content. Without usable policy disclosures, runtime behavior cannot be compared substantively against the policy.
Retained evidence:
• [runtimeContext.cmp] "entity":"OneTrust, LLC","product":"OneTrust CMP","vendor":"OneTrust"
• [runtimeContext.trackerVendors] "product":"Google Tag Manager","purpose":"tag_management","vendor":"Google"
Evidence refs: policy_surface_8e5890bd_privacy_alias, policy_surface_dcd6ac83_privacy_alias, policy_surface_9bb50c6, policy_surface_65f97419, policy_surface_629365bf, policy_surface_95be159c
Reason codes: RUNTIME_SIGNALS_RETAINED, PRIVACY_SURFACE_CAPTURED_NON_POLICY_CONTENT, POLICY_RUNTIME_COMPARISON_NOT_POSSIBLE
5.6 Sol confidence: 99%</x:t>
  </x:si>
  <x:si>
    <x:t xml:space="preserve">Runtime evidence shows a OneTrust CMP, an accept-all/manage-preferences consent UI without an observed reject control, and third-party vendors (Google Tag Manager) present pre-consent, but the retained policy documents contain no substantive privacy or cookie disclosures at all to compare this runtime behavior against. Without any retained policy-side content describing cookie use, consent mechanics, or vendor sharing, a reliable consistency/conflict determination cannot be made.
Evidence refs: runtimeContext.cmp[0], runtimeContext.consentUi[0], runtimeContext.preconsent, runtimeContext.trackerVendors[0], policy_surface_8e5890bd_privacy_alias</x:t>
  </x:si>
  <x:si>
    <x:t xml:space="preserve">Fable 5 seed — Strong exception: runtime signals exist but zero policy content was retained to compare. Evidence: OneTrust CMP, accept-all/manage UI, GTM pre-consent vs. six marketing-only policy surfaces. Reasoning: Policy/runtime consistency requires both sides; the policy side is entirely absent, so any final verdict would be manufactured. Disagreement: Mini's observed infers consistency from a consent UI plus marketing pages.</x:t>
  </x:si>
  <x:si>
    <x:t xml:space="preserve">vox-20260701</x:t>
  </x:si>
  <x:si>
    <x:t xml:space="preserve">The notice states a general retention period tied to policy purposes and also describes a retention exception for deletion-request records/minimum necessary data.
Retained evidence:
• “We will retain your Personal Data for the period necessary to fulfill the purposes outlined in this Privacy Policy unless a longer retention period”
• “Additionally, if you request deletion of your Personal Data and we have obtained such information from a third-party source, we may retain such data by keeping a record of the deletion request and the minimum data necessary to ensure that your Personal Data remains deleted from our records and that such retained data is not used for any other pur…
Evidence refs: policy_surface_a3216e04
Reason codes: RETENTION_PERIOD_STATED, RETENTION_EXCEPTION_STATED
Mini confidence: 95%</x:t>
  </x:si>
  <x:si>
    <x:t xml:space="preserve">The retained privacy notice directly states a purpose-based retention period and allows for a longer period in circumstances described beyond the bounded excerpt.
Retained evidence:
• We will retain your Personal Data for the period necessary to fulfill the purposes outlined in this Privacy Policy unless a longer retention period
Evidence refs: policy_surface_a3216e04
Reason codes: RETENTION_PERIOD_CRITERIA_DISCLOSED
5.6 Sol confidence: 97%</x:t>
  </x:si>
  <x:si>
    <x:t xml:space="preserve">The only retained retention language is the generic formula 'We will retain your Personal Data for the period necessary to fulfill the purposes outlined in this Privacy Policy unless a longer retention period...' which is cut off in the retained text and adds no concrete period or criteria beyond the boilerplate 'as long as necessary' framing that the standard treats as ambiguous absent further substance.
Evidence refs: policy_surface_a3216e04</x:t>
  </x:si>
  <x:si>
    <x:t xml:space="preserve">Fable 5 seed — Necessity criterion plus a concrete retention-exception scenario are retained. Evidence: "retain your Personal Data for the period necessary to fulfill the purposes... unless a longer retention period" plus retention of deletion-request records and minimum data to keep data deleted (policy_surface_a3216e04). Reasoning: The deletion-record scenario adds substance beyond boilerplate. Disagreement: Sonnet weighs only the truncated generic clause.</x:t>
  </x:si>
  <x:si>
    <x:t xml:space="preserve">The runtime evidence shows third-party vendors and pre-consent tracking, which is directionally consistent with the policy’s disclosure of third-party advertising/analytics collection and cookie use.
Retained evidence:
• Policy: “We and our third-party service providers (including any third-party content, advertising, and analytics providers) automatically collect certain information ... to target advertising to you”
• Runtime: “thirdPartyVendorsObserved”:true, “preConsentTrackingObserved”:true, “thirdPartyCookiesPreConsentObserved”:true
Evidence refs: policy_surface_a3216e04
Reason codes: POLICY_MATCHES_RUNTIME_TRACKING, PRECONSENT_TRACKING_OBSERVED
Mini confidence: 91%</x:t>
  </x:si>
  <x:si>
    <x:t xml:space="preserve">The retained policy states that cookies and automatic collection by advertising and analytics providers occur when users interact with the services. Runtime evidence likewise records cookies, advertising trackers, analytics trackers, and third-party tracking. No retained passage states that such collection occurs only after an affirmative consent interaction, so the pre-consent runtime observation does not materially contradict the retained policy text.
Retained evidence:
• We and our third-party service providers (including any third-party content, advertising, and analytics providers) automatically collect certain information from your device or web browser when you interact with the Services to help us understand how our users use the Services and to target advertising to you
• Cookies and local storage may be set and accessed on your computer.
Evidence refs: policy_surface_a3216e04, runtime_context
Reason codes: POLICY_DISCLOSES_AUTOMATIC_COLLECTION, POLICY_DISCLOSES_ADVERTISING_AND_ANALYTICS_PROVIDERS, RUNTIME_TRACKING_ALIGNS_WITH_POLICY, NO_MATERIAL_CONTRADICTION_RETAINED
5.6 Sol confidence: 94%</x:t>
  </x:si>
  <x:si>
    <x:t xml:space="preserve">The retained policy states consent is one legal basis relied on for processing and that Vox processes Personal Data for targeted advertising, implying a consent-gated tracking model for advertising/analytics vendors. Retained runtime evidence shows a CMP (OneTrust, confidence 0.95) is deployed, yet consentUi shows no accept/reject/manage-preferences controls or visible choice labels were observed (likelyPresent: false) and consentBannerLikelyPresent is false, while preconsent flags confirm thirdPartyVendorsObserved, preConsentTrackingObserved, and thirdPartyCookiesPreConsentObserved are all true. Numerous named advertising/analytics vendors (Google Ads/DoubleClick, Amazon Ads, DoubleVerify, ScorecardResearch, Magnite/Rubicon, Criteo, LiveR…
Evidence refs: policy_surface_a3216e04, runtimeContext.cmp, runtimeContext.consentUi, runtimeContext.preconsent, runtimeContext.trackerVendors</x:t>
  </x:si>
  <x:si>
    <x:t xml:space="preserve">Fable 5 seed — Disclosed automatic collection by ad/analytics providers matches runtime. Evidence: "We and our third-party service providers (including any third-party content, advertising, and analytics providers) automatically collect certain information... to target advertising" (policy_surface_a3216e04); runtime shows matching third-party tracking. Reasoning: "Consent is one legal basis" is not a gating commitment, so pre-consent activity under a US model contradicts nothing retained. Disagreement: Sonnet infers a consent gate from a legal-basis mention; the CMP-present/no-controls capture is noted as a signal.</x:t>
  </x:si>
  <x:si>
    <x:t xml:space="preserve">The retained text references privacy principles, but no substantive passage describing a legal basis for processing was retained.
Retained evidence:
• "W3C Statement: Privacy Principles"
Evidence refs: policy_surface_4437db21
Reason codes: TOPIC_MENTION_ONLY
Mini confidence: 74%</x:t>
  </x:si>
  <x:si>
    <x:t xml:space="preserve">The retained fragment does not state a legal basis for processing, but its limited coverage prevents classification as not observed with sufficient coverage.
Evidence refs: policy_surface_4437db21
Reason codes: PARTIAL_POLICY_CAPTURE, NO_LEGAL_BASIS_PASSAGE_IN_RETAINED_TEXT
5.6 Sol confidence: 98%</x:t>
  </x:si>
  <x:si>
    <x:t xml:space="preserve">The retained text contains no reference to any legal basis (consent, contract, legal obligation, vital interests, public task, or legitimate interests) for processing. Coverage of the topic is absent.
Evidence refs: policy_surface_4437db21</x:t>
  </x:si>
  <x:si>
    <x:t xml:space="preserve">Fable 5 seed — No legal-basis reference in the retained document. Evidence: policy_surface_4437db21 contains mission/navigation content only. Reasoning: Taking the capture at face value, the topic is unaddressed (Mini/Sonnet). Caveat: the governing W3C privacy notice was likely never captured, so a targeted re-scan is recommended before treating this as final. Disagreement: Sol's insufficient survives as the caveat rather than the verdict.</x:t>
  </x:si>
  <x:si>
    <x:t xml:space="preserve">The retained excerpt does not include any substantive retention period, retention criteria, or deletion schedule.
Evidence refs: policy_surface_4437db21
Reason codes: NO_RETENTION_POLICY_TEXT
Mini confidence: 78%</x:t>
  </x:si>
  <x:si>
    <x:t xml:space="preserve">The only retained policy text is a short, apparently partial introduction and contains no substantive retention passage. Its limited coverage prevents a reliable absence finding.
Evidence refs: policy_surface_4437db21
Reason codes: PARTIAL_POLICY_CAPTURE, NO_RETENTION_PASSAGE_IN_RETAINED_TEXT
5.6 Sol confidence: 98%</x:t>
  </x:si>
  <x:si>
    <x:t xml:space="preserve">No retention period or retention criteria appear anywhere in the retained document; the text is limited to mission/navigation content with no data-lifecycle discussion.
Evidence refs: policy_surface_4437db21</x:t>
  </x:si>
  <x:si>
    <x:t xml:space="preserve">Fable 5 seed — No retention language in the retained document. Evidence: policy_surface_4437db21, mission/navigation content only. Reasoning: Topic unaddressed in the capture; same re-scan caveat as row 71. Disagreement: Sol's insufficient preserved as the caveat.</x:t>
  </x:si>
  <x:si>
    <x:t xml:space="preserve">No substantive passage about cross-border transfers, transfer mechanisms, or destination countries was retained.
Evidence refs: policy_surface_4437db21
Reason codes: NO_TRANSFER_TEXT
Mini confidence: 78%</x:t>
  </x:si>
  <x:si>
    <x:t xml:space="preserve">No substantive international-transfer passage or deterministic legal-framework signal was retained. The partial policy capture does not support a reliable absence finding.
Evidence refs: policy_surface_4437db21
Reason codes: PARTIAL_POLICY_CAPTURE, NO_TRANSFER_PASSAGE_IN_RETAINED_TEXT, NO_DETERMINISTIC_FRAMEWORK_SIGNAL
5.6 Sol confidence: 98%</x:t>
  </x:si>
  <x:si>
    <x:t xml:space="preserve">The retained evidence contains no mention of data transfer destinations, cross-border circumstances, or transfer mechanisms (e.g., SCCs, adequacy, Privacy Shield/DPF). Topic is not addressed.
Evidence refs: policy_surface_4437db21</x:t>
  </x:si>
  <x:si>
    <x:t xml:space="preserve">Fable 5 seed — No transfer destinations, circumstances, or mechanisms in the retained document. Evidence: policy_surface_4437db21. Reasoning: Topic unaddressed; same re-scan caveat as row 71. Disagreement: Sol's insufficient preserved as the caveat.</x:t>
  </x:si>
  <x:si>
    <x:t xml:space="preserve">The retained material does not substantively identify service providers, processors, or other vendors.
Evidence refs: policy_surface_4437db21
Reason codes: NO_VENDOR_DISCLOSURE_TEXT
Mini confidence: 80%</x:t>
  </x:si>
  <x:si>
    <x:t xml:space="preserve">No vendor disclosure was retained. Runtime reported no observed third-party vendors, but that does not establish whether the policy discloses vendors, and the policy capture is incomplete.
Evidence refs: policy_surface_4437db21
Reason codes: PARTIAL_POLICY_CAPTURE, NO_VENDOR_DISCLOSURE_IN_RETAINED_TEXT, NO_RUNTIME_THIRD_PARTY_VENDOR_OBSERVED
5.6 Sol confidence: 98%</x:t>
  </x:si>
  <x:si>
    <x:t xml:space="preserve">No processors, vendors, recipients, or recipient categories are named or described in the retained text. Runtime evidence also shows no third-party vendors observed.
Evidence refs: policy_surface_4437db21, runtimeContext.preconsent.thirdPartyVendorsObserved</x:t>
  </x:si>
  <x:si>
    <x:t xml:space="preserve">Fable 5 seed — No processors, vendors, or recipient categories in the retained document, and no runtime third-party vendors observed. Evidence: policy_surface_4437db21; runtimeContext thirdPartyVendorsObserved=false. Reasoning: Both retained surfaces are silent, supporting absence; re-scan caveat as row 71. Disagreement: Sol's insufficient preserved as the caveat.</x:t>
  </x:si>
  <x:si>
    <x:t xml:space="preserve">No substantive passage describing access, deletion, correction, portability, objection, or similar rights was retained.
Evidence refs: policy_surface_4437db21
Reason codes: NO_RIGHTS_TEXT
Mini confidence: 79%</x:t>
  </x:si>
  <x:si>
    <x:t xml:space="preserve">The retained policy fragment does not substantively describe data-subject rights, and the apparent truncation means absence may result from incomplete capture.
Evidence refs: policy_surface_4437db21
Reason codes: PARTIAL_POLICY_CAPTURE, NO_RIGHTS_PASSAGE_IN_RETAINED_TEXT
5.6 Sol confidence: 98%</x:t>
  </x:si>
  <x:si>
    <x:t xml:space="preserve">The retained document does not mention any data-subject rights (access, correction, deletion, restriction, portability, objection, or complaint). No rights language is present.
Evidence refs: policy_surface_4437db21</x:t>
  </x:si>
  <x:si>
    <x:t xml:space="preserve">Fable 5 seed — No data-subject rights mentioned in the retained document. Evidence: policy_surface_4437db21. Reasoning: Topic unaddressed; re-scan caveat as row 71. Disagreement: Sol's insufficient preserved as the caveat.</x:t>
  </x:si>
  <x:si>
    <x:t xml:space="preserve">Retained runtime evidence includes a specific named cookie, __cf_bm, recorded on both the w3.org and .w3.org cookie domains with an assigned purpose (security) and first-party classification. This constitutes a granular named-cookie entry rather than a category-only description, satisfying the observed standard, albeit a minimal single-cookie inventory.
Evidence refs: runtimeContext.cookies[0], runtimeContext.cookies[1]</x:t>
  </x:si>
  <x:si>
    <x:t xml:space="preserve">Fable 5 seed — One identifiable cookie name is retained. Evidence: __cf_bm on w3.org and .w3.org, first-party, security purpose (runtimeContext.cookies[0-1]). Reasoning: Retained evidence lists an identifiable cookie name, technically meeting the rule; it is a minimal single-cookie inventory with no policy-side disclosure retained — Low confidence, flagged. Disagreement: Mini/Sol exclude runtime names; their concern sets the confidence.</x:t>
  </x:si>
  <x:si>
    <x:t xml:space="preserve">The retained policy text and runtime signals do not materially conflict on the limited topics evidenced here; runtime shows a first-party security cookie and no observed consent UI or third-party vendor activity.
Retained evidence:
• Policy text: "Creating a more trustworthy web and protecting user privacy is fundamental to creating a web that works — for everyone."
• Runtime: "cookieName":"__cf_bm"
Evidence refs: policy_surface_4437db21
Reason codes: NO_MATERIAL_CONFLICT_OBSERVED
Mini confidence: 83%</x:t>
  </x:si>
  <x:si>
    <x:t xml:space="preserve">Runtime capture observed the __cf_bm security cookie, but the retained policy fragment does not provide enough cookie or processing detail for a substantive comparison. No material disagreement can be established from the retained evidence.
Retained evidence:
• Creating a more trustworthy web and protecting user privacy is fundamental to creating a web that works — for everyone.
• "cookieName":"__cf_bm","cookieParty":"first_party","cookiePurpose":"security"
Evidence refs: policy_surface_4437db21
Reason codes: RUNTIME_COOKIE_OBSERVED, PARTIAL_POLICY_CAPTURE, INSUFFICIENT_COMPARABLE_POLICY_DETAIL
5.6 Sol confidence: 96%</x:t>
  </x:si>
  <x:si>
    <x:t xml:space="preserve">The retained policy document contains no cookie, consent, or tracking disclosures to compare against the observed runtime behavior (a single first-party __cf_bm security cookie, no consent banner, no third-party vendors or pre-consent tracking). Because the policy side of the comparison is effectively silent on these practices, a reliable consistency determination cannot be made from the retained evidence.
Evidence refs: policy_surface_4437db21, runtimeContext.consentUi[0], runtimeContext.preconsent</x:t>
  </x:si>
  <x:si>
    <x:t xml:space="preserve">Fable 5 seed — Strong exception: the retained fragment contains no cookie/consent representations to compare. Evidence: mission-statement text vs. runtime __cf_bm, no banner, no third-party activity. Reasoning: With the policy side silent, a consistency verdict would be vacuous. Disagreement: Mini's observed infers consistency from mutual silence.</x:t>
  </x:si>
  <x:si>
    <x:t xml:space="preserve">weather-20260614</x:t>
  </x:si>
  <x:si>
    <x:t xml:space="preserve">Retained policy/runtime text shows data-use purposes tied to advertising and analytics settings, including tailoring advertising and use/share with data vendors.
Retained evidence:
• "Do Not Sell or Share My Personal Information (Opt Out) I do not wish for my personal information to be sold or shared, as defined under the CPRA. This is the default setting when cookies are enabled. Save Advertising, Analytics, and Opt Out Choices You have the ability to control how your data is used, including to tailor advertising to your like…
• "We may use or share your data with our data vendors. Take control of your data. Review All Privacy and Ad Settings Do Not Sell or Share My Personal Information You opted out Data Rights"
Evidence refs: policy_surface_11bb7b9f, policy_surface_5a840362
Reason codes: PURPOSE_DISCLOSED_ADVERTISING, PURPOSE_DISCLOSED_ANALYTICS, PURPOSE_DISCLOSED_DATA_SHARING
Mini confidence: 91%</x:t>
  </x:si>
  <x:si>
    <x:t xml:space="preserve">The retained privacy-settings passage directly identifies tailoring advertising to likely interests based on user activities as a data-use purpose. The excerpt ends at the retained capture boundary.
Retained evidence:
• You have the ability to control how your data is used, including to tailor advertising to your likely interests based on your activities across o
Evidence refs: policy_surface_11bb7b9f
Reason codes: INTEREST_BASED_ADVERTISING_PURPOSE_DISCLOSED
5.6 Sol confidence: 98%</x:t>
  </x:si>
  <x:si>
    <x:t xml:space="preserve">Retained privacy_policy and california_notice excerpts (policy_surface_adf06a15, policy_surface_b1cd742) contain only a GPC opt-out fragment. No purpose-specific processing language appears, but the excerpts are clearly partial snippets of larger documents, so absence cannot be confirmed with sufficient coverage.
Evidence refs: policy_surface_adf06a15, policy_surface_b1cd742</x:t>
  </x:si>
  <x:si>
    <x:t xml:space="preserve">Fable 5 seed — Purpose disclosures are directly retained in the settings surfaces. Evidence: "control how your data is used, including to tailor advertising to your likely interests based on your activities" and "We may use or share your data with our data vendors" (policy_surface_11bb7b9f, 5a840362). Reasoning: Interest-based advertising and vendor sharing are stated data-use purposes on a legitimate disclosure surface. Disagreement: Sonnet's insufficient evaluates different surfaces and does not engage these passages.</x:t>
  </x:si>
  <x:si>
    <x:t xml:space="preserve">The retained text expressly states use or sharing with data vendors.
Retained evidence:
• "We may use or share your data with our data vendors."
Evidence refs: policy_surface_5a840362
Reason codes: VENDOR_DISCLOSURE_PRESENT
Mini confidence: 95%</x:t>
  </x:si>
  <x:si>
    <x:t xml:space="preserve">The retained passage substantively discloses possible use or sharing of data with vendors, although it does not identify those vendors by name.
Retained evidence:
• We may use or share your data with our data vendors.
Evidence refs: policy_surface_5a840362, policy_surface_af740cf9
Reason codes: DATA_VENDOR_SHARING_DISCLOSED, VENDORS_NOT_NAMED_IN_RETAINED_PASSAGE
5.6 Sol confidence: 91%</x:t>
  </x:si>
  <x:si>
    <x:t xml:space="preserve">policy_surface_5a840362 contains the complete, non-truncated statement 'We may use or share your data with our data vendors,' which names no specific vendors or recipient categories. Per the observed standard this generic sharing statement alone does not establish substantive vendor disclosure.
Evidence refs: policy_surface_5a840362</x:t>
  </x:si>
  <x:si>
    <x:t xml:space="preserve">Fable 5 seed — A vendor-sharing disclosure is retained, complete and non-truncated. Evidence: "We may use or share your data with our data vendors." (policy_surface_5a840362). Reasoning: The statement discloses a recipient category (data vendors) and the sharing practice — thin but topical and intact, meeting the topic's intent; the absence of named vendors or functions is flagged for the reviewer. Disagreement: Sonnet's not_observed applies a substantiveness bar above category-level disclosure; the majority's observed is adopted with the quality caveat.</x:t>
  </x:si>
  <x:si>
    <x:t xml:space="preserve">Runtime evidence lists specific first-party cookie names (e.g., amplitude-variants, twc-location-geocode, twc-privacy, ci, gbuuid) with domain and party attribution, meeting the bar for a granular named-cookie inventory even though cookiePurpose is recorded as 'unknown' for each entry.
Evidence refs: runtimeContext.cookies[0], runtimeContext.cookies[1], runtimeContext.cookies[5], runtimeContext.cookies[6], runtimeContext.cookies[7]</x:t>
  </x:si>
  <x:si>
    <x:t xml:space="preserve">Fable 5 seed — Identifiable cookie names are retained. Evidence: amplitude-variants, twc-location-geocode, twc-privacy, ci, gbuuid with domain/party attribution (runtimeContext.cookies). Reasoning: A named retained list satisfies the rule; unknown purposes and partial policy captures are quality caveats. Disagreement: Mini/Sol's categorical runtime exclusion.</x:t>
  </x:si>
  <x:si>
    <x:t xml:space="preserve">The policy’s advertising/data-vendor disclosures are directionally consistent with runtime evidence of pre-consent tracking, third-party vendors, and named cookies.
Retained evidence:
• Policy: "Do Not Sell or Share My Personal Information (Opt Out) ... This is the default setting when cookies are enabled."
• Runtime: "thirdPartyVendorsObserved":true, "preConsentTrackingObserved":true, "thirdPartyCookiesPreConsentObserved":true
Evidence refs: policy_surface_11bb7b9f, policy_surface_5a840362, runtime
Reason codes: POLICY_MATCHES_RUNTIME_TRACKING, POLICY_MATCHES_RUNTIME_VENDOR_DISCLOSURE
Mini confidence: 90%</x:t>
  </x:si>
  <x:si>
    <x:t xml:space="preserve">Runtime evidence shows pre-consent tracking and third-party vendors, while the retained settings text describes enabled cookies as the default and offers controls. The excerpts do not state that tracking is withheld pending consent, and the policy capture is too incomplete to assess overall policy/runtime consistency or establish a material contradiction.
Retained evidence:
• This is the default setting when cookies are enabled.
• You have the ability to control how your data is used, including to tailor advertising to your likely interests based on your activities across o
Evidence refs: policy_surface_11bb7b9f
Reason codes: PRECONSENT_TRACKING_OBSERVED, THIRD_PARTY_VENDORS_OBSERVED, NO_EXPLICIT_PRIOR_CONSENT_COMMITMENT_RETAINED, POLICY_CAPTURE_INCOMPLETE
5.6 Sol confidence: 82%</x:t>
  </x:si>
  <x:si>
    <x:t xml:space="preserve">The retained do_not_sell_or_share document states advertising data sharing is opted in by default when cookies are enabled (CPRA opt-out framework). Retained runtime evidence shows extensive pre-consent third-party advertising vendor activity (20 matched ad/analytics vendors in trackerVendors) with no consent banner present (consentUi[0].likelyPresent=false; preconsent.consentBannerLikelyPresent=false). This pattern is consistent with the disclosed opt-out-by-default model rather than a contradiction; no GDPR/EU consent claims are present in the retained text to compare against.
Evidence refs: policy_surface_11bb7b9f, runtimeContext.preconsent, runtimeContext.consentUi[0], runtimeContext.trackerVendors</x:t>
  </x:si>
  <x:si>
    <x:t xml:space="preserve">Fable 5 seed — Runtime behavior matches the disclosed opt-out-by-default model. Evidence: do-not-sell page states sharing is the default when cookies are enabled (CPRA framework) (policy_surface_11bb7b9f); runtime shows extensive pre-consent ad-vendor activity with no consent banner. Reasoning: Under a disclosed opt-out model, pre-consent tracking is the represented behavior. Disagreement: Sol's insufficient understates the concrete default-on representation the runtime confirms.</x:t>
  </x:si>
  <x:si>
    <x:t xml:space="preserve">wikipedia-20260613</x:t>
  </x:si>
  <x:si>
    <x:t xml:space="preserve">The retained text does not identify vendors, categories of recipients, or third-party disclosures with enough specificity.
Evidence refs: policy_surface_dd917c15
Reason codes: NO_VENDOR_DISCLOSURE_PASSAGE_RETAINED
Mini confidence: 12%</x:t>
  </x:si>
  <x:si>
    <x:t xml:space="preserve">The fragment says information is not sold, rented, or given to others for marketing, but it does not substantively identify vendors, vendor categories, or vendor processing. Because the policy capture is incomplete, vendor disclosures cannot be assessed conclusively.
Reason codes: NO_SUBSTANTIVE_VENDOR_DISCLOSURE_RETAINED, INCOMPLETE_POLICY_CAPTURE
5.6 Sol confidence: 96%</x:t>
  </x:si>
  <x:si>
    <x:t xml:space="preserve">The retained excerpt (policy_surface_dd917c15) directly addresses data sharing, stating 'We do not sell or rent your Personal Information, nor do we give it to others to sell you anything,' but names no processors, vendors, recipients, or recipient categories. Because this passage squarely engages the sharing/recipients topic without disclosing any named vendors or categories, the retained text is sufficient to conclude the named-recipient standard is not met.
Evidence refs: policy_surface_dd917c15</x:t>
  </x:si>
  <x:si>
    <x:t xml:space="preserve">Fable 5 seed — The sharing topic is engaged but no vendors or recipient categories are disclosed. Evidence: "We do not sell or rent your Personal Information, nor do we give it to others to sell you anything" (policy_surface_dd917c15). Reasoning: The retained passage squarely addresses sharing and names no processors or categories — Sonnet's final call. Caveat: the excerpt is a fragment of a long policy, so a fuller capture could surface the service-providers section. Disagreement: Mini/Sol's insufficient survives as the caveat.</x:t>
  </x:si>
  <x:si>
    <x:t xml:space="preserve">wise-20260611</x:t>
  </x:si>
  <x:si>
    <x:t xml:space="preserve">insufficient_retained_evidence
(Mini + Sonnet)</x:t>
  </x:si>
  <x:si>
    <x:t xml:space="preserve">The retained excerpt is a restriction on research use, not a substantive statement of general processing purposes for the site. The main privacy policy text was not retained with sufficient coverage to assess purposes.
Retained evidence:
• "process personal data outside the scope of the specified research."
Evidence refs: policy_surface_7b196d21
Reason codes: RETENTION_ONLY_NOT_PURPOSE, INCOMPLETE_POLICY_CAPTURE
Mini confidence: 22%</x:t>
  </x:si>
  <x:si>
    <x:t xml:space="preserve">The research privacy policy substantively limits processing to the specified research and expressly excludes third-party marketing sharing. This observes purpose information only within that policy's research scope.
Retained evidence:
• process personal data outside the scope of the specified research.
• share your Personal Data with Third Parties for marketing purposes.
Evidence refs: policy_surface_7b196d21
Reason codes: RESEARCH_PROCESSING_SCOPE_STATED, MARKETING_PURPOSE_EXCLUSION_STATED, SCOPE_LIMITED_DISCLOSURE
5.6 Sol confidence: 90%</x:t>
  </x:si>
  <x:si>
    <x:t xml:space="preserve">The general privacy-notices page (policy_surface_dd2a5ab5) and cookie-policy page (policy_surface_e6f7a372) retained only site navigation/menu text, not policy body content. The one substantive fragment, the research privacy policy (policy_surface_7b196d21), is scoped narrowly to research participants and states data won't be processed 'outside the scope of the specified research' without explaining general processing purposes for the site's core services. No substantive purpose-specific language is present.
Evidence refs: policy_surface_dd2a5ab5, policy_surface_e6f7a372, policy_surface_7b196d21</x:t>
  </x:si>
  <x:si>
    <x:t xml:space="preserve">Fable 5 seed — Strong exception: the only substantive capture is a research-participant policy; the site's general purposes were never captured. Evidence: general privacy-notices and cookie-policy pages retained navigation text only; the research policy limits processing to "the specified research" (policy_surface_7b196d21). Reasoning: Rendering a final purposes verdict for the site from a scope-limited research document plus failed captures would mislead. Disagreement: Sol's observed generalizes the research scope; Sonnet agrees coverage failed.</x:t>
  </x:si>
  <x:si>
    <x:t xml:space="preserve">The retained excerpt names third-party services, but does not state transfer destinations, mechanisms, or cross-border transfer terms. The capture is too incomplete to assess international transfers.
Retained evidence:
• "meet.google.com or calendar.google.com DocuSign docusign.co.uk or docusign.com BHN Rewards bhnrewards.com or app.rybbon.net or myprepaidcenter.com"
Evidence refs: policy_surface_7b196d21
Reason codes: THIRD_PARTY_NAMES_ONLY, INCOMPLETE_POLICY_CAPTURE
Mini confidence: 21%</x:t>
  </x:si>
  <x:si>
    <x:t xml:space="preserve">No substantive international-transfer disclosure is retained. Domain names and a general statement about data-protection agreements do not establish international transfers, and the policy captures are incomplete.
Evidence refs: policy_surface_dd2a5ab5, policy_surface_7b196d21
Reason codes: NO_SUBSTANTIVE_TRANSFER_PASSAGE, PRIVACY_POLICY_CAPTURE_INCOMPLETE
5.6 Sol confidence: 98%</x:t>
  </x:si>
  <x:si>
    <x:t xml:space="preserve">The research privacy policy fragment (policy_surface_7b196d21) names third-party vendors (Google Meet/Calendar, DocuSign, BHN Rewards via rybbon.net/myprepaidcenter.com) and states appropriate data protection agreements will be in place, but this is generic assurance language that does not name transfer destinations, cross-border circumstances, or a specific mechanism (e.g., SCCs, adequacy decision). No other retained document adds transfer detail, so the substantive bar for international transfers is not met.
Evidence refs: policy_surface_7b196d21</x:t>
  </x:si>
  <x:si>
    <x:t xml:space="preserve">Fable 5 seed — No transfer substance in the retained material. Evidence: research policy names vendor domains (Google, DocuSign, BHN Rewards) with a generic data-protection-agreements assurance; no destinations, circumstances, or mechanisms anywhere (policy_surface_7b196d21). Reasoning: The retained evidence engages adjacent topics without any transfer disclosure — Sonnet's call. Caveat: main policy pages captured navigation only; re-scan advisable. Disagreement: Mini/Sol's insufficient preserved as the caveat.</x:t>
  </x:si>
  <x:si>
    <x:t xml:space="preserve">not_observed_with_sufficient_coverage
(Mini + Sol)</x:t>
  </x:si>
  <x:si>
    <x:t xml:space="preserve">Retained cookie-policy evidence did not contain a typed or directly named cookie identifier; categories alone do not establish a named-cookie inventory.
Reason codes: deterministic_named_cookie_inventory_required, cookie_categories_without_named_identifiers
Mini confidence: 90%</x:t>
  </x:si>
  <x:si>
    <x:t xml:space="preserve">Retained cookie-policy evidence did not contain a typed or directly named cookie identifier; categories alone do not establish a named-cookie inventory.
Reason codes: deterministic_named_cookie_inventory_required, cookie_categories_without_named_identifiers
5.6 Sol confidence: 90%</x:t>
  </x:si>
  <x:si>
    <x:t xml:space="preserve">The cookie-policy document body was not retained (navigation text only), but retained runtime evidence lists specific named cookies across first- and third-party domains, e.g. appToken/gid/__cf_bm on wise.com, TDID on adsrvr.org, test_cookie on doubleclick.net, and MUID/MR on bing.com/bat.bing.com, constituting a granular named-cookie inventory.
Evidence refs: runtimeContext.cookies[0], runtimeContext.cookies[1], runtimeContext.cookies[2], runtimeContext.cookies[7], runtimeContext.cookies[13], runtimeContext.cookies[9]</x:t>
  </x:si>
  <x:si>
    <x:t xml:space="preserve">Fable 5 seed — Identifiable cookie names are retained. Evidence: appToken, gid, __cf_bm (wise.com), TDID (adsrvr.org), test_cookie (doubleclick.net), MUID/MR (bing.com) (runtimeContext.cookies). Reasoning: A granular retained name list satisfies the rule; the cookie-policy body itself was not captured (navigation text only), a disclosure-quality caveat for the reviewer. Disagreement: Mini/Sol's not_observed asserts a category-only retained policy the packet does not actually contain; their runtime exclusion is also stricter than the rule.</x:t>
  </x:si>
  <x:si>
    <x:t xml:space="preserve">Runtime evidence shows third-party cookies and pre-consent tracking activity, while the retained policy text includes third-party access language. The retained packet does not provide enough policy detail to identify a direct contradiction.
Retained evidence:
• "Cookies and Similar Technologies Policy - Wise Personal Wise Account"
• "We will monitor and limit these third parties’ access to your data and ensure the appropriate data protection agreements are in place."
Evidence refs: policy_surface_e6f7a372, policy_surface_7b196d21
Reason codes: RUNTIME_THIRD_PARTY_COOKIES_PRECONSENT, RUNTIME_PRECONSENT_TRACKING_OBSERVED
Mini confidence: 89%</x:t>
  </x:si>
  <x:si>
    <x:t xml:space="preserve">Runtime tracking and cookies were retained, but the privacy and cookie policy captures lack enough substantive coverage to compare those runtime observations against policy representations. The research-policy restrictions are scope-limited and cannot be assumed to govern the scanned runtime generally.
Evidence refs: policy_surface_dd2a5ab5, policy_surface_7b196d21, policy_surface_e6f7a372
Reason codes: RUNTIME_EVIDENCE_AVAILABLE, POLICY_DISCLOSURE_CAPTURE_INCOMPLETE, NO_SCOPE_MATCH_FOR_CONFLICT_ASSESSMENT
5.6 Sol confidence: 97%</x:t>
  </x:si>
  <x:si>
    <x:t xml:space="preserve">Retained policy/cookie-policy documents contain no substantive disclosed content (navigation text only) describing the site's consent commitments, so there is no policy-side basis for comparison. Runtime evidence separately shows extensive pre-consent third-party advertising/analytics trackers (Google Ads/DoubleClick, The Trade Desk, Magnite, Index Exchange, PubMatic, Meta Pixel, Reddit Pixel, Google Analytics, Mixpanel) and no consent banner/CMP observed across four page samples (all consentUi entries show likelyPresent:false), with preconsent.thirdPartyCookiesPreConsentObserved true. Without retained policy text to compare against, a reliable consistency determination cannot be made.
Evidence refs: policy_surface_e6f7a372, runtimeContext.preconsent, runtimeContext.consentUi[0], runtimeContext.trackerVendors</x:t>
  </x:si>
  <x:si>
    <x:t xml:space="preserve">Fable 5 seed — Strong exception: no policy-side representations retained for comparison. Evidence: policy/cookie surfaces captured navigation text only; runtime shows extensive pre-consent ad/analytics trackers and no consent UI across four samples. Reasoning: Runtime behavior alone cannot be classified as consistent or conflicting without a retained representation. Disagreement: Mini's observed infers no-contradiction from a policy capture too empty to contradict anything.</x:t>
  </x:si>
</x:sst>
</file>

<file path=xl/styles.xml><?xml version="1.0" encoding="utf-8"?>
<x:styleSheet xmlns:x="http://schemas.openxmlformats.org/spreadsheetml/2006/main">
  <x:fonts count="14">
    <x:font>
      <x:sz val="10"/>
      <x:color rgb="FF000000"/>
      <x:name val="Arial"/>
    </x:font>
    <x:font>
      <x:b/>
      <x:sz val="10"/>
      <x:color rgb="FFFFFFFF"/>
      <x:name val="Calibri"/>
    </x:font>
    <x:font>
      <x:b/>
      <x:sz val="20"/>
      <x:color rgb="FFFFFFFF"/>
      <x:name val="Aptos"/>
    </x:font>
    <x:font/>
    <x:font>
      <x:sz val="11"/>
      <x:color theme="1"/>
      <x:name val="Aptos"/>
    </x:font>
    <x:font>
      <x:sz val="9"/>
      <x:color theme="1"/>
      <x:name val="Aptos"/>
    </x:font>
    <x:font>
      <x:sz val="11"/>
      <x:color rgb="FF0C4A6E"/>
      <x:name val="Aptos"/>
    </x:font>
    <x:font>
      <x:b/>
      <x:sz val="11"/>
      <x:color rgb="FFFFFFFF"/>
      <x:name val="Aptos"/>
    </x:font>
    <x:font>
      <x:sz val="9"/>
      <x:color theme="1"/>
      <x:name val="Arial"/>
    </x:font>
    <x:font>
      <x:b/>
      <x:sz val="11"/>
      <x:color rgb="FF334155"/>
      <x:name val="Aptos"/>
    </x:font>
    <x:font>
      <x:b/>
      <x:sz val="14"/>
      <x:color rgb="FF0F172A"/>
      <x:name val="Aptos"/>
    </x:font>
    <x:font>
      <x:b/>
      <x:sz val="11"/>
      <x:color rgb="FF92400E"/>
      <x:name val="Aptos"/>
    </x:font>
    <x:font>
      <x:b/>
      <x:sz val="11"/>
      <x:color rgb="FF0F172A"/>
      <x:name val="Aptos"/>
    </x:font>
    <x:font>
      <x:sz val="10"/>
      <x:color rgb="FF334155"/>
      <x:name val="Aptos"/>
    </x:font>
  </x:fonts>
  <x:fills count="10">
    <x:fill>
      <x:patternFill patternType="none"/>
    </x:fill>
    <x:fill>
      <x:patternFill patternType="lightGray"/>
    </x:fill>
    <x:fill>
      <x:patternFill patternType="solid">
        <x:fgColor rgb="FF0F172A"/>
      </x:patternFill>
    </x:fill>
    <x:fill>
      <x:patternFill patternType="solid">
        <x:fgColor rgb="FFE0F2FE"/>
      </x:patternFill>
    </x:fill>
    <x:fill>
      <x:patternFill patternType="solid">
        <x:fgColor rgb="FF1E3A8A"/>
      </x:patternFill>
    </x:fill>
    <x:fill>
      <x:patternFill patternType="solid">
        <x:fgColor rgb="FFF8FAFC"/>
      </x:patternFill>
    </x:fill>
    <x:fill>
      <x:patternFill patternType="solid">
        <x:fgColor rgb="FFFFFFFF"/>
      </x:patternFill>
    </x:fill>
    <x:fill>
      <x:patternFill patternType="solid">
        <x:fgColor rgb="FFFEF3C7"/>
      </x:patternFill>
    </x:fill>
    <x:fill>
      <x:patternFill patternType="solid">
        <x:fgColor rgb="FFFFFBEB"/>
      </x:patternFill>
    </x:fill>
    <x:fill>
      <x:patternFill patternType="solid">
        <x:fgColor rgb="FFE2E8F0"/>
      </x:patternFill>
    </x:fill>
  </x:fills>
  <x:borders count="25">
    <x:border/>
    <x:border/>
    <x:border/>
    <x:border/>
    <x:border/>
    <x:border/>
    <x:border/>
    <x:border/>
    <x:border>
      <x:left style="thin">
        <x:color rgb="FFCBD5E1"/>
      </x:left>
      <x:top style="thin">
        <x:color rgb="FFCBD5E1"/>
      </x:top>
    </x:border>
    <x:border>
      <x:right style="thin">
        <x:color rgb="FFCBD5E1"/>
      </x:right>
      <x:top style="thin">
        <x:color rgb="FFCBD5E1"/>
      </x:top>
    </x:border>
    <x:border>
      <x:left style="thin">
        <x:color rgb="FFCBD5E1"/>
      </x:left>
    </x:border>
    <x:border>
      <x:right style="thin">
        <x:color rgb="FFCBD5E1"/>
      </x:right>
    </x:border>
    <x:border>
      <x:left style="thin">
        <x:color rgb="FFCBD5E1"/>
      </x:left>
      <x:bottom style="thin">
        <x:color rgb="FFCBD5E1"/>
      </x:bottom>
    </x:border>
    <x:border>
      <x:right style="thin">
        <x:color rgb="FFCBD5E1"/>
      </x:right>
      <x:bottom style="thin">
        <x:color rgb="FFCBD5E1"/>
      </x:bottom>
    </x:border>
    <x:border>
      <x:bottom style="thin">
        <x:color rgb="FFE2E8F0"/>
      </x:bottom>
    </x:border>
    <x:border>
      <x:top style="thin">
        <x:color rgb="FFE2E8F0"/>
      </x:top>
      <x:bottom style="thin">
        <x:color rgb="FFE2E8F0"/>
      </x:bottom>
    </x:border>
    <x:border>
      <x:top style="thin">
        <x:color rgb="FFE2E8F0"/>
      </x:top>
    </x:border>
    <x:border>
      <x:left style="thin">
        <x:color rgb="FFCBD5E1"/>
      </x:left>
      <x:top style="thin">
        <x:color rgb="FFCBD5E1"/>
      </x:top>
    </x:border>
    <x:border>
      <x:top style="thin">
        <x:color rgb="FFCBD5E1"/>
      </x:top>
    </x:border>
    <x:border>
      <x:right style="thin">
        <x:color rgb="FFCBD5E1"/>
      </x:right>
      <x:top style="thin">
        <x:color rgb="FFCBD5E1"/>
      </x:top>
    </x:border>
    <x:border>
      <x:left style="thin">
        <x:color rgb="FFCBD5E1"/>
      </x:left>
    </x:border>
    <x:border>
      <x:right style="thin">
        <x:color rgb="FFCBD5E1"/>
      </x:right>
    </x:border>
    <x:border>
      <x:left style="thin">
        <x:color rgb="FFCBD5E1"/>
      </x:left>
      <x:bottom style="thin">
        <x:color rgb="FFCBD5E1"/>
      </x:bottom>
    </x:border>
    <x:border>
      <x:bottom style="thin">
        <x:color rgb="FFCBD5E1"/>
      </x:bottom>
    </x:border>
    <x:border>
      <x:right style="thin">
        <x:color rgb="FFCBD5E1"/>
      </x:right>
      <x:bottom style="thin">
        <x:color rgb="FFCBD5E1"/>
      </x:bottom>
    </x:border>
  </x:borders>
  <x:cellStyleXfs count="1">
    <x:xf numFmtId="0" fontId="0" fillId="0" borderId="0" applyFont="1" applyAlignment="1"/>
  </x:cellStyleXfs>
  <x:cellXfs count="36">
    <x:xf numFmtId="0" fontId="0" fillId="0" borderId="0" xfId="0" applyFont="1" applyAlignment="1">
      <x:alignment vertical="bottom" wrapText="0"/>
    </x:xf>
    <x:xf numFmtId="0" fontId="1" fillId="2" borderId="1" xfId="0" applyFont="1" applyFill="1" applyBorder="1" applyAlignment="1">
      <x:alignment vertical="center" wrapText="1"/>
    </x:xf>
    <x:xf numFmtId="0" fontId="2" fillId="2" borderId="2" xfId="0" applyFont="1" applyBorder="1" applyAlignment="1">
      <x:alignment horizontal="left" vertical="center" wrapText="0"/>
    </x:xf>
    <x:xf numFmtId="0" fontId="3" fillId="0" borderId="3" xfId="0" applyFont="1" applyBorder="1"/>
    <x:xf numFmtId="0" fontId="3" fillId="0" borderId="4" xfId="0" applyFont="1" applyBorder="1"/>
    <x:xf numFmtId="0" fontId="3" fillId="0" borderId="5" xfId="0" applyFont="1" applyBorder="1"/>
    <x:xf numFmtId="0" fontId="3" fillId="0" borderId="6" xfId="0" applyFont="1" applyBorder="1"/>
    <x:xf numFmtId="0" fontId="3" fillId="0" borderId="7" xfId="0" applyFont="1" applyBorder="1"/>
    <x:xf numFmtId="0" fontId="4" fillId="0" borderId="0" xfId="0" applyFont="1" applyAlignment="1">
      <x:alignment vertical="bottom" wrapText="0"/>
    </x:xf>
    <x:xf numFmtId="0" fontId="5" fillId="0" borderId="0" xfId="0" applyFont="1" applyAlignment="1">
      <x:alignment vertical="top" wrapText="0"/>
    </x:xf>
    <x:xf numFmtId="0" fontId="5" fillId="0" borderId="0" xfId="0" applyFont="1" applyAlignment="1">
      <x:alignment vertical="top" wrapText="1"/>
    </x:xf>
    <x:xf numFmtId="0" fontId="6" fillId="3" borderId="2" xfId="0" applyFont="1" applyFill="1" applyBorder="1" applyAlignment="1">
      <x:alignment vertical="center" wrapText="1"/>
    </x:xf>
    <x:xf numFmtId="0" fontId="7" fillId="4" borderId="8" xfId="0" applyFont="1" applyFill="1" applyBorder="1" applyAlignment="1">
      <x:alignment vertical="bottom" wrapText="0"/>
    </x:xf>
    <x:xf numFmtId="0" fontId="7" fillId="4" borderId="9" xfId="0" applyFont="1" applyBorder="1" applyAlignment="1">
      <x:alignment vertical="bottom" wrapText="0"/>
    </x:xf>
    <x:xf numFmtId="0" fontId="8" fillId="0" borderId="0" xfId="0" applyFont="1" applyAlignment="1">
      <x:alignment vertical="top" wrapText="1"/>
    </x:xf>
    <x:xf numFmtId="0" fontId="9" fillId="5" borderId="10" xfId="0" applyFont="1" applyFill="1" applyBorder="1" applyAlignment="1">
      <x:alignment vertical="bottom" wrapText="0"/>
    </x:xf>
    <x:xf numFmtId="0" fontId="10" fillId="6" borderId="11" xfId="0" applyFont="1" applyFill="1" applyBorder="1" applyAlignment="1">
      <x:alignment horizontal="right" vertical="bottom" wrapText="0"/>
    </x:xf>
    <x:xf numFmtId="0" fontId="11" fillId="7" borderId="10" xfId="0" applyFont="1" applyFill="1" applyBorder="1" applyAlignment="1">
      <x:alignment horizontal="center" vertical="bottom" wrapText="0"/>
    </x:xf>
    <x:xf numFmtId="0" fontId="4" fillId="8" borderId="11" xfId="0" applyFont="1" applyFill="1" applyBorder="1" applyAlignment="1">
      <x:alignment vertical="bottom" wrapText="1"/>
    </x:xf>
    <x:xf numFmtId="0" fontId="11" fillId="7" borderId="12" xfId="0" applyFont="1" applyBorder="1" applyAlignment="1">
      <x:alignment horizontal="center" vertical="bottom" wrapText="0"/>
    </x:xf>
    <x:xf numFmtId="0" fontId="4" fillId="8" borderId="13" xfId="0" applyFont="1" applyBorder="1" applyAlignment="1">
      <x:alignment vertical="bottom" wrapText="1"/>
    </x:xf>
    <x:xf numFmtId="0" fontId="9" fillId="5" borderId="12" xfId="0" applyFont="1" applyBorder="1" applyAlignment="1">
      <x:alignment vertical="bottom" wrapText="0"/>
    </x:xf>
    <x:xf numFmtId="0" fontId="10" fillId="6" borderId="13" xfId="0" applyFont="1" applyBorder="1" applyAlignment="1">
      <x:alignment horizontal="right" vertical="bottom" wrapText="0"/>
    </x:xf>
    <x:xf numFmtId="0" fontId="7" fillId="4" borderId="14" xfId="0" applyFont="1" applyBorder="1" applyAlignment="1">
      <x:alignment vertical="bottom" wrapText="0"/>
    </x:xf>
    <x:xf numFmtId="0" fontId="4" fillId="0" borderId="15" xfId="0" applyFont="1" applyBorder="1" applyAlignment="1">
      <x:alignment vertical="bottom" wrapText="0"/>
    </x:xf>
    <x:xf numFmtId="0" fontId="4" fillId="0" borderId="15" xfId="0" applyFont="1" applyBorder="1" applyAlignment="1">
      <x:alignment horizontal="right" vertical="bottom" wrapText="0"/>
    </x:xf>
    <x:xf numFmtId="0" fontId="12" fillId="9" borderId="16" xfId="0" applyFont="1" applyFill="1" applyBorder="1" applyAlignment="1">
      <x:alignment vertical="bottom" wrapText="0"/>
    </x:xf>
    <x:xf numFmtId="0" fontId="12" fillId="9" borderId="16" xfId="0" applyFont="1" applyBorder="1" applyAlignment="1">
      <x:alignment horizontal="right" vertical="bottom" wrapText="0"/>
    </x:xf>
    <x:xf numFmtId="0" fontId="13" fillId="5" borderId="17" xfId="0" applyFont="1" applyBorder="1" applyAlignment="1">
      <x:alignment vertical="center" wrapText="1"/>
    </x:xf>
    <x:xf numFmtId="0" fontId="3" fillId="0" borderId="18" xfId="0" applyFont="1" applyBorder="1"/>
    <x:xf numFmtId="0" fontId="3" fillId="0" borderId="19" xfId="0" applyFont="1" applyBorder="1"/>
    <x:xf numFmtId="0" fontId="3" fillId="0" borderId="20" xfId="0" applyFont="1" applyBorder="1"/>
    <x:xf numFmtId="0" fontId="3" fillId="0" borderId="21" xfId="0" applyFont="1" applyBorder="1"/>
    <x:xf numFmtId="0" fontId="3" fillId="0" borderId="22" xfId="0" applyFont="1" applyBorder="1"/>
    <x:xf numFmtId="0" fontId="3" fillId="0" borderId="23" xfId="0" applyFont="1" applyBorder="1"/>
    <x:xf numFmtId="0" fontId="3" fillId="0" borderId="24" xfId="0" applyFont="1" applyBorder="1"/>
  </x:cellXfs>
  <x:cellStyles count="1">
    <x:cellStyle name="Normal" xfId="0"/>
  </x:cellStyles>
  <x:dxfs count="6">
    <x:dxf>
      <x:font>
        <x:b/>
        <x:color rgb="FF166534"/>
      </x:font>
      <x:fill>
        <x:patternFill>
          <x:bgColor rgb="FFDCFCE7"/>
        </x:patternFill>
      </x:fill>
      <x:border/>
    </x:dxf>
    <x:dxf>
      <x:font>
        <x:b/>
        <x:color rgb="FF991B1B"/>
      </x:font>
      <x:fill>
        <x:patternFill>
          <x:bgColor rgb="FFFEE2E2"/>
        </x:patternFill>
      </x:fill>
      <x:border/>
    </x:dxf>
    <x:dxf>
      <x:font>
        <x:b/>
        <x:color rgb="FF92400E"/>
      </x:font>
      <x:fill>
        <x:patternFill>
          <x:bgColor rgb="FFFEF3C7"/>
        </x:patternFill>
      </x:fill>
      <x:border/>
    </x:dxf>
    <x:dxf>
      <x:font>
        <x:b/>
        <x:color rgb="FF6B21A8"/>
      </x:font>
      <x:fill>
        <x:patternFill>
          <x:bgColor rgb="FFF3E8FF"/>
        </x:patternFill>
      </x:fill>
      <x:border/>
    </x:dxf>
    <x:dxf>
      <x:font>
        <x:b/>
        <x:color rgb="FF475569"/>
      </x:font>
      <x:fill>
        <x:patternFill>
          <x:bgColor rgb="FFE2E8F0"/>
        </x:patternFill>
      </x:fill>
      <x:border/>
    </x:dxf>
    <x:dxf>
      <x:font>
        <x:b/>
        <x:color rgb="FF7F1D1D"/>
      </x:font>
      <x:fill>
        <x:patternFill>
          <x:bgColor rgb="FFFECACA"/>
        </x:patternFill>
      </x:fill>
      <x:border/>
    </x:dxf>
  </x:dxfs>
</x:styleSheet>
</file>

<file path=xl/_rels/workbook.xml.rels>&#65279;<?xml version="1.0" encoding="utf-8"?><Relationships xmlns="http://schemas.openxmlformats.org/package/2006/relationships"><Relationship Type="http://schemas.openxmlformats.org/officeDocument/2006/relationships/styles" Target="/xl/styles.xml" Id="Rb89856db03b84e05" /><Relationship Type="http://schemas.openxmlformats.org/officeDocument/2006/relationships/theme" Target="/xl/theme/theme1.xml" Id="Rbce0af1a19f64e3e" /><Relationship Type="http://schemas.openxmlformats.org/officeDocument/2006/relationships/sharedStrings" Target="/xl/sharedStrings.xml" Id="R885c06f530db4a54" /><Relationship Type="http://schemas.openxmlformats.org/officeDocument/2006/relationships/worksheet" Target="/xl/worksheets/sheet1.xml" Id="Rcfacbe2daa384f72" /><Relationship Type="http://schemas.openxmlformats.org/officeDocument/2006/relationships/worksheet" Target="/xl/worksheets/sheet2.xml" Id="R2d4a8f070ccf43cc"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ColWidth="12.630000114440918" defaultRowHeight="15"/>
  <x:cols>
    <x:col min="1" max="1" width="30" customWidth="1"/>
    <x:col min="2" max="2" width="16" customWidth="1"/>
    <x:col min="3" max="3" width="14" customWidth="1"/>
    <x:col min="4" max="4" width="16" customWidth="1"/>
    <x:col min="5" max="5" width="52" customWidth="1"/>
    <x:col min="6" max="8" width="12" customWidth="1"/>
    <x:col min="9" max="26" width="8.630000114440918" customWidth="1"/>
  </x:cols>
  <x:sheetData>
    <x:row r="1">
      <x:c r="A1" s="2" t="s">
        <x:v>0</x:v>
      </x:c>
      <x:c r="B1" s="3"/>
      <x:c r="C1" s="3"/>
      <x:c r="D1" s="3"/>
      <x:c r="E1" s="3"/>
      <x:c r="F1" s="3"/>
      <x:c r="G1" s="3"/>
      <x:c r="H1" s="4"/>
    </x:row>
    <x:row r="2">
      <x:c r="A2" s="5"/>
      <x:c r="B2" s="6"/>
      <x:c r="C2" s="6"/>
      <x:c r="D2" s="6"/>
      <x:c r="E2" s="6"/>
      <x:c r="F2" s="6"/>
      <x:c r="G2" s="6"/>
      <x:c r="H2" s="7"/>
    </x:row>
    <x:row r="3">
      <x:c r="A3" s="8"/>
      <x:c r="B3" s="8"/>
      <x:c r="C3" s="8"/>
      <x:c r="D3" s="8"/>
      <x:c r="E3" s="8"/>
      <x:c r="F3" s="8"/>
      <x:c r="G3" s="8"/>
      <x:c r="H3" s="8"/>
    </x:row>
    <x:row r="4" ht="33.75" customHeight="1">
      <x:c r="A4" s="11" t="s">
        <x:v>1</x:v>
      </x:c>
      <x:c r="B4" s="3"/>
      <x:c r="C4" s="3"/>
      <x:c r="D4" s="3"/>
      <x:c r="E4" s="3"/>
      <x:c r="F4" s="3"/>
      <x:c r="G4" s="3"/>
      <x:c r="H4" s="4"/>
    </x:row>
    <x:row r="5" ht="33.75" customHeight="1">
      <x:c r="A5" s="5"/>
      <x:c r="B5" s="6"/>
      <x:c r="C5" s="6"/>
      <x:c r="D5" s="6"/>
      <x:c r="E5" s="6"/>
      <x:c r="F5" s="6"/>
      <x:c r="G5" s="6"/>
      <x:c r="H5" s="7"/>
    </x:row>
    <x:row r="6">
      <x:c r="A6" s="8"/>
      <x:c r="B6" s="8"/>
      <x:c r="C6" s="8"/>
      <x:c r="D6" s="8"/>
      <x:c r="E6" s="8"/>
      <x:c r="F6" s="8"/>
      <x:c r="G6" s="8"/>
      <x:c r="H6" s="8"/>
    </x:row>
    <x:row r="7">
      <x:c r="A7" s="12" t="s">
        <x:v>2</x:v>
      </x:c>
      <x:c r="B7" s="13" t="s">
        <x:v>3</x:v>
      </x:c>
      <x:c r="C7" s="8"/>
      <x:c r="D7" s="12" t="s">
        <x:v>4</x:v>
      </x:c>
      <x:c r="E7" s="13" t="s">
        <x:v>5</x:v>
      </x:c>
      <x:c r="F7" s="8"/>
      <x:c r="G7" s="8"/>
      <x:c r="H7" s="8"/>
    </x:row>
    <x:row r="8">
      <x:c r="A8" s="15" t="s">
        <x:v>6</x:v>
      </x:c>
      <x:c r="B8" s="16" t="n">
        <x:f>COUNTA('Review Queue'!$A$2:$A$87)</x:f>
        <x:v>86</x:v>
      </x:c>
      <x:c r="C8" s="8"/>
      <x:c r="D8" s="17" t="s">
        <x:v>7</x:v>
      </x:c>
      <x:c r="E8" s="18" t="s">
        <x:v>8</x:v>
      </x:c>
      <x:c r="F8" s="8"/>
      <x:c r="G8" s="8"/>
      <x:c r="H8" s="8"/>
    </x:row>
    <x:row r="9">
      <x:c r="A9" s="15" t="s">
        <x:v>9</x:v>
      </x:c>
      <x:c r="B9" s="16" t="n">
        <x:f>COUNTIF('Review Queue'!$B$2:$B$87,"Three-way split")</x:f>
        <x:v>11</x:v>
      </x:c>
      <x:c r="C9" s="8"/>
      <x:c r="D9" s="17" t="s">
        <x:v>10</x:v>
      </x:c>
      <x:c r="E9" s="18" t="s">
        <x:v>11</x:v>
      </x:c>
      <x:c r="F9" s="8"/>
      <x:c r="G9" s="8"/>
      <x:c r="H9" s="8"/>
    </x:row>
    <x:row r="10">
      <x:c r="A10" s="15" t="s">
        <x:v>12</x:v>
      </x:c>
      <x:c r="B10" s="16" t="n">
        <x:f>COUNTIF('Review Queue'!$B$2:$B$87,"2-model majority")</x:f>
        <x:v>75</x:v>
      </x:c>
      <x:c r="C10" s="8"/>
      <x:c r="D10" s="19" t="s">
        <x:v>13</x:v>
      </x:c>
      <x:c r="E10" s="20" t="s">
        <x:v>14</x:v>
      </x:c>
      <x:c r="F10" s="8"/>
      <x:c r="G10" s="8"/>
      <x:c r="H10" s="8"/>
    </x:row>
    <x:row r="11">
      <x:c r="A11" s="15" t="s">
        <x:v>15</x:v>
      </x:c>
      <x:c r="B11" s="16" t="n">
        <x:f>COUNTIF('Review Queue'!$O$2:$O$87,"Reviewed")</x:f>
        <x:v>86</x:v>
      </x:c>
      <x:c r="C11" s="8"/>
      <x:c r="D11" s="8"/>
      <x:c r="E11" s="8"/>
      <x:c r="F11" s="8"/>
      <x:c r="G11" s="8"/>
      <x:c r="H11" s="8"/>
    </x:row>
    <x:row r="12">
      <x:c r="A12" s="15" t="s">
        <x:v>16</x:v>
      </x:c>
      <x:c r="B12" s="16" t="n">
        <x:f>COUNTIF('Review Queue'!$O$2:$O$87,"Needs follow-up")</x:f>
        <x:v>0</x:v>
      </x:c>
      <x:c r="C12" s="8"/>
      <x:c r="D12" s="8"/>
      <x:c r="E12" s="8"/>
      <x:c r="F12" s="8"/>
      <x:c r="G12" s="8"/>
      <x:c r="H12" s="8"/>
    </x:row>
    <x:row r="13">
      <x:c r="A13" s="21" t="s">
        <x:v>17</x:v>
      </x:c>
      <x:c r="B13" s="22" t="n">
        <x:f>B8-B11</x:f>
        <x:v>0</x:v>
      </x:c>
      <x:c r="C13" s="8"/>
      <x:c r="D13" s="8"/>
      <x:c r="E13" s="8"/>
      <x:c r="F13" s="8"/>
      <x:c r="G13" s="8"/>
      <x:c r="H13" s="8"/>
    </x:row>
    <x:row r="14">
      <x:c r="A14" s="8"/>
      <x:c r="B14" s="8"/>
      <x:c r="C14" s="8"/>
      <x:c r="D14" s="8"/>
      <x:c r="E14" s="8"/>
      <x:c r="F14" s="8"/>
      <x:c r="G14" s="8"/>
      <x:c r="H14" s="8"/>
    </x:row>
    <x:row r="15">
      <x:c r="A15" s="8"/>
      <x:c r="B15" s="8"/>
      <x:c r="C15" s="8"/>
      <x:c r="D15" s="8"/>
      <x:c r="E15" s="8"/>
      <x:c r="F15" s="8"/>
      <x:c r="G15" s="8"/>
      <x:c r="H15" s="8"/>
    </x:row>
    <x:row r="16">
      <x:c r="A16" s="23" t="s">
        <x:v>18</x:v>
      </x:c>
      <x:c r="B16" s="23" t="s">
        <x:v>19</x:v>
      </x:c>
      <x:c r="C16" s="23" t="s">
        <x:v>15</x:v>
      </x:c>
      <x:c r="D16" s="23" t="s">
        <x:v>17</x:v>
      </x:c>
      <x:c r="E16" s="8"/>
      <x:c r="F16" s="8"/>
      <x:c r="G16" s="8"/>
      <x:c r="H16" s="8"/>
    </x:row>
    <x:row r="17">
      <x:c r="A17" s="24" t="s">
        <x:v>20</x:v>
      </x:c>
      <x:c r="B17" s="25" t="n">
        <x:f>COUNTIF('Review Queue'!$D$2:$D$87,A17)</x:f>
        <x:v>6</x:v>
      </x:c>
      <x:c r="C17" s="25" t="n">
        <x:f>COUNTIFS('Review Queue'!$D$2:$D$87,A17,'Review Queue'!$O$2:$O$87,"Reviewed")</x:f>
        <x:v>6</x:v>
      </x:c>
      <x:c r="D17" s="25" t="n">
        <x:f t="shared" ref="D17:D24" si="1">B17-C17</x:f>
        <x:v>0</x:v>
      </x:c>
      <x:c r="E17" s="8"/>
      <x:c r="F17" s="8"/>
      <x:c r="G17" s="8"/>
      <x:c r="H17" s="8"/>
    </x:row>
    <x:row r="18">
      <x:c r="A18" s="24" t="s">
        <x:v>21</x:v>
      </x:c>
      <x:c r="B18" s="25" t="n">
        <x:f>COUNTIF('Review Queue'!$D$2:$D$87,A18)</x:f>
        <x:v>6</x:v>
      </x:c>
      <x:c r="C18" s="25" t="n">
        <x:f>COUNTIFS('Review Queue'!$D$2:$D$87,A18,'Review Queue'!$O$2:$O$87,"Reviewed")</x:f>
        <x:v>6</x:v>
      </x:c>
      <x:c r="D18" s="25" t="n">
        <x:f t="shared" si="1">B18-C18</x:f>
        <x:v>0</x:v>
      </x:c>
      <x:c r="E18" s="8"/>
      <x:c r="F18" s="8"/>
      <x:c r="G18" s="8"/>
      <x:c r="H18" s="8"/>
    </x:row>
    <x:row r="19">
      <x:c r="A19" s="24" t="s">
        <x:v>22</x:v>
      </x:c>
      <x:c r="B19" s="25" t="n">
        <x:f>COUNTIF('Review Queue'!$D$2:$D$87,A19)</x:f>
        <x:v>12</x:v>
      </x:c>
      <x:c r="C19" s="25" t="n">
        <x:f>COUNTIFS('Review Queue'!$D$2:$D$87,A19,'Review Queue'!$O$2:$O$87,"Reviewed")</x:f>
        <x:v>12</x:v>
      </x:c>
      <x:c r="D19" s="25" t="n">
        <x:f t="shared" si="1">B19-C19</x:f>
        <x:v>0</x:v>
      </x:c>
      <x:c r="E19" s="8"/>
      <x:c r="F19" s="8"/>
      <x:c r="G19" s="8"/>
      <x:c r="H19" s="8"/>
    </x:row>
    <x:row r="20">
      <x:c r="A20" s="24" t="s">
        <x:v>23</x:v>
      </x:c>
      <x:c r="B20" s="25" t="n">
        <x:f>COUNTIF('Review Queue'!$D$2:$D$87,A20)</x:f>
        <x:v>9</x:v>
      </x:c>
      <x:c r="C20" s="25" t="n">
        <x:f>COUNTIFS('Review Queue'!$D$2:$D$87,A20,'Review Queue'!$O$2:$O$87,"Reviewed")</x:f>
        <x:v>9</x:v>
      </x:c>
      <x:c r="D20" s="25" t="n">
        <x:f t="shared" si="1">B20-C20</x:f>
        <x:v>0</x:v>
      </x:c>
      <x:c r="E20" s="8"/>
      <x:c r="F20" s="8"/>
      <x:c r="G20" s="8"/>
      <x:c r="H20" s="8"/>
    </x:row>
    <x:row r="21" ht="15.75" customHeight="1">
      <x:c r="A21" s="24" t="s">
        <x:v>24</x:v>
      </x:c>
      <x:c r="B21" s="25" t="n">
        <x:f>COUNTIF('Review Queue'!$D$2:$D$87,A21)</x:f>
        <x:v>8</x:v>
      </x:c>
      <x:c r="C21" s="25" t="n">
        <x:f>COUNTIFS('Review Queue'!$D$2:$D$87,A21,'Review Queue'!$O$2:$O$87,"Reviewed")</x:f>
        <x:v>8</x:v>
      </x:c>
      <x:c r="D21" s="25" t="n">
        <x:f t="shared" si="1">B21-C21</x:f>
        <x:v>0</x:v>
      </x:c>
      <x:c r="E21" s="8"/>
      <x:c r="F21" s="8"/>
      <x:c r="G21" s="8"/>
      <x:c r="H21" s="8"/>
    </x:row>
    <x:row r="22" ht="15.75" customHeight="1">
      <x:c r="A22" s="24" t="s">
        <x:v>25</x:v>
      </x:c>
      <x:c r="B22" s="25" t="n">
        <x:f>COUNTIF('Review Queue'!$D$2:$D$87,A22)</x:f>
        <x:v>6</x:v>
      </x:c>
      <x:c r="C22" s="25" t="n">
        <x:f>COUNTIFS('Review Queue'!$D$2:$D$87,A22,'Review Queue'!$O$2:$O$87,"Reviewed")</x:f>
        <x:v>6</x:v>
      </x:c>
      <x:c r="D22" s="25" t="n">
        <x:f t="shared" si="1">B22-C22</x:f>
        <x:v>0</x:v>
      </x:c>
      <x:c r="E22" s="8"/>
      <x:c r="F22" s="8"/>
      <x:c r="G22" s="8"/>
      <x:c r="H22" s="8"/>
    </x:row>
    <x:row r="23" ht="15.75" customHeight="1">
      <x:c r="A23" s="24" t="str">
        <x:v>Observed cookie/storage names</x:v>
      </x:c>
      <x:c r="B23" s="25" t="n">
        <x:f>COUNTIF('Review Queue'!$D$2:$D$87,A23)</x:f>
        <x:v>18</x:v>
      </x:c>
      <x:c r="C23" s="25" t="n">
        <x:f>COUNTIFS('Review Queue'!$D$2:$D$87,A23,'Review Queue'!$O$2:$O$87,"Reviewed")</x:f>
        <x:v>18</x:v>
      </x:c>
      <x:c r="D23" s="25" t="n">
        <x:f t="shared" si="1">B23-C23</x:f>
        <x:v>0</x:v>
      </x:c>
      <x:c r="E23" s="8"/>
      <x:c r="F23" s="8"/>
      <x:c r="G23" s="8"/>
      <x:c r="H23" s="8"/>
    </x:row>
    <x:row r="24" ht="15.75" customHeight="1">
      <x:c r="A24" s="24" t="s">
        <x:v>26</x:v>
      </x:c>
      <x:c r="B24" s="25" t="n">
        <x:f>COUNTIF('Review Queue'!$D$2:$D$87,A24)</x:f>
        <x:v>21</x:v>
      </x:c>
      <x:c r="C24" s="25" t="n">
        <x:f>COUNTIFS('Review Queue'!$D$2:$D$87,A24,'Review Queue'!$O$2:$O$87,"Reviewed")</x:f>
        <x:v>21</x:v>
      </x:c>
      <x:c r="D24" s="25" t="n">
        <x:f t="shared" si="1">B24-C24</x:f>
        <x:v>0</x:v>
      </x:c>
      <x:c r="E24" s="8"/>
      <x:c r="F24" s="8"/>
      <x:c r="G24" s="8"/>
      <x:c r="H24" s="8"/>
    </x:row>
    <x:row r="25" ht="15.75" customHeight="1">
      <x:c r="A25" s="26" t="s">
        <x:v>27</x:v>
      </x:c>
      <x:c r="B25" s="27" t="n">
        <x:f t="shared" ref="B25:D25" si="2">SUM(B17:B24)</x:f>
        <x:v>86</x:v>
      </x:c>
      <x:c r="C25" s="27" t="n">
        <x:f t="shared" si="2">SUM(C17:C24)</x:f>
        <x:v>86</x:v>
      </x:c>
      <x:c r="D25" s="27" t="n">
        <x:f t="shared" si="2">B25-C25</x:f>
        <x:v>0</x:v>
      </x:c>
      <x:c r="E25" s="8"/>
      <x:c r="F25" s="8"/>
      <x:c r="G25" s="8"/>
      <x:c r="H25" s="8"/>
    </x:row>
    <x:row r="26" ht="15.75" customHeight="1">
      <x:c r="A26" s="8"/>
      <x:c r="B26" s="8"/>
      <x:c r="C26" s="8"/>
      <x:c r="D26" s="8"/>
      <x:c r="E26" s="8"/>
      <x:c r="F26" s="8"/>
      <x:c r="G26" s="8"/>
      <x:c r="H26" s="8"/>
    </x:row>
    <x:row r="27" ht="15.75" customHeight="1">
      <x:c r="A27" s="8"/>
      <x:c r="B27" s="8"/>
      <x:c r="C27" s="8"/>
      <x:c r="D27" s="8"/>
      <x:c r="E27" s="8"/>
      <x:c r="F27" s="8"/>
      <x:c r="G27" s="8"/>
      <x:c r="H27" s="8"/>
    </x:row>
    <x:row r="28" ht="15" customHeight="1">
      <x:c r="A28" s="28" t="s">
        <x:v>28</x:v>
      </x:c>
      <x:c r="B28" s="29"/>
      <x:c r="C28" s="29"/>
      <x:c r="D28" s="29"/>
      <x:c r="E28" s="29"/>
      <x:c r="F28" s="29"/>
      <x:c r="G28" s="29"/>
      <x:c r="H28" s="30"/>
    </x:row>
    <x:row r="29" ht="15.75" customHeight="1">
      <x:c r="A29" s="31"/>
      <x:c r="H29" s="32"/>
    </x:row>
    <x:row r="30" ht="15.75" customHeight="1">
      <x:c r="A30" s="31"/>
      <x:c r="H30" s="32"/>
    </x:row>
    <x:row r="31" ht="15.75" customHeight="1">
      <x:c r="A31" s="33"/>
      <x:c r="B31" s="34"/>
      <x:c r="C31" s="34"/>
      <x:c r="D31" s="34"/>
      <x:c r="E31" s="34"/>
      <x:c r="F31" s="34"/>
      <x:c r="G31" s="34"/>
      <x:c r="H31" s="35"/>
    </x:row>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H2"/>
    <x:mergeCell ref="A4:H5"/>
    <x:mergeCell ref="A28:H3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ColWidth="12.630000114440918" defaultRowHeight="15"/>
  <x:cols>
    <x:col min="1" max="1" width="7" customWidth="1"/>
    <x:col min="2" max="2" width="18" customWidth="1"/>
    <x:col min="3" max="3" width="23" customWidth="1"/>
    <x:col min="4" max="4" width="25" customWidth="1"/>
    <x:col min="5" max="5" width="28" customWidth="1"/>
    <x:col min="6" max="6" width="22" customWidth="1"/>
    <x:col min="7" max="7" width="14.380000114440918" customWidth="1"/>
    <x:col min="8" max="8" width="22" customWidth="1"/>
    <x:col min="9" max="9" width="18.75" customWidth="1"/>
    <x:col min="10" max="10" width="22" customWidth="1"/>
    <x:col min="11" max="11" width="15.5" customWidth="1"/>
    <x:col min="12" max="12" width="28" customWidth="1"/>
    <x:col min="13" max="13" width="14" customWidth="1"/>
    <x:col min="14" max="14" width="10.380000114440918" customWidth="1"/>
    <x:col min="15" max="15" width="18" customWidth="1"/>
    <x:col min="16" max="26" width="8.630000114440918" customWidth="1"/>
  </x:cols>
  <x:sheetData>
    <x:row r="1" ht="33.75" customHeight="1">
      <x:c r="A1" s="1" t="s">
        <x:v>29</x:v>
      </x:c>
      <x:c r="B1" s="1" t="s">
        <x:v>30</x:v>
      </x:c>
      <x:c r="C1" s="1" t="s">
        <x:v>31</x:v>
      </x:c>
      <x:c r="D1" s="1" t="s">
        <x:v>18</x:v>
      </x:c>
      <x:c r="E1" s="1" t="s">
        <x:v>32</x:v>
      </x:c>
      <x:c r="F1" s="1" t="s">
        <x:v>33</x:v>
      </x:c>
      <x:c r="G1" s="1" t="s">
        <x:v>34</x:v>
      </x:c>
      <x:c r="H1" s="1" t="s">
        <x:v>35</x:v>
      </x:c>
      <x:c r="I1" s="1" t="s">
        <x:v>36</x:v>
      </x:c>
      <x:c r="J1" s="1" t="s">
        <x:v>37</x:v>
      </x:c>
      <x:c r="K1" s="1" t="s">
        <x:v>38</x:v>
      </x:c>
      <x:c r="L1" s="1" t="s">
        <x:v>39</x:v>
      </x:c>
      <x:c r="M1" s="1" t="s">
        <x:v>40</x:v>
      </x:c>
      <x:c r="N1" s="1" t="s">
        <x:v>41</x:v>
      </x:c>
      <x:c r="O1" s="1" t="s">
        <x:v>42</x:v>
      </x:c>
    </x:row>
    <x:row r="2" ht="210" customHeight="1">
      <x:c r="A2" s="9">
        <x:v>1.0</x:v>
      </x:c>
      <x:c r="B2" s="10" t="s">
        <x:v>43</x:v>
      </x:c>
      <x:c r="C2" s="9" t="s">
        <x:v>44</x:v>
      </x:c>
      <x:c r="D2" s="9" t="s">
        <x:v>21</x:v>
      </x:c>
      <x:c r="E2" s="10" t="s">
        <x:v>45</x:v>
      </x:c>
      <x:c r="F2" s="10" t="s">
        <x:v>46</x:v>
      </x:c>
      <x:c r="G2" s="10" t="s">
        <x:v>47</x:v>
      </x:c>
      <x:c r="H2" s="10" t="s">
        <x:v>48</x:v>
      </x:c>
      <x:c r="I2" s="10" t="s">
        <x:v>49</x:v>
      </x:c>
      <x:c r="J2" s="10" t="s">
        <x:v>50</x:v>
      </x:c>
      <x:c r="K2" s="10" t="s">
        <x:v>51</x:v>
      </x:c>
      <x:c r="L2" s="10" t="s">
        <x:v>50</x:v>
      </x:c>
      <x:c r="M2" s="9" t="s">
        <x:v>52</x:v>
      </x:c>
      <x:c r="N2" s="10" t="s">
        <x:v>53</x:v>
      </x:c>
      <x:c r="O2" s="14" t="s">
        <x:v>15</x:v>
      </x:c>
    </x:row>
    <x:row r="3" ht="210" customHeight="1">
      <x:c r="A3" s="9">
        <x:v>2.0</x:v>
      </x:c>
      <x:c r="B3" s="10" t="s">
        <x:v>43</x:v>
      </x:c>
      <x:c r="C3" s="9" t="s">
        <x:v>54</x:v>
      </x:c>
      <x:c r="D3" s="9" t="s">
        <x:v>21</x:v>
      </x:c>
      <x:c r="E3" s="10" t="s">
        <x:v>45</x:v>
      </x:c>
      <x:c r="F3" s="10" t="s">
        <x:v>46</x:v>
      </x:c>
      <x:c r="G3" s="10" t="s">
        <x:v>55</x:v>
      </x:c>
      <x:c r="H3" s="10" t="s">
        <x:v>56</x:v>
      </x:c>
      <x:c r="I3" s="10" t="s">
        <x:v>57</x:v>
      </x:c>
      <x:c r="J3" s="10" t="s">
        <x:v>50</x:v>
      </x:c>
      <x:c r="K3" s="10" t="s">
        <x:v>58</x:v>
      </x:c>
      <x:c r="L3" s="10" t="s">
        <x:v>50</x:v>
      </x:c>
      <x:c r="M3" s="9" t="s">
        <x:v>52</x:v>
      </x:c>
      <x:c r="N3" s="10" t="s">
        <x:v>59</x:v>
      </x:c>
      <x:c r="O3" s="14" t="s">
        <x:v>15</x:v>
      </x:c>
    </x:row>
    <x:row r="4" ht="210" customHeight="1">
      <x:c r="A4" s="9">
        <x:v>3.0</x:v>
      </x:c>
      <x:c r="B4" s="10" t="s">
        <x:v>43</x:v>
      </x:c>
      <x:c r="C4" s="9" t="s">
        <x:v>60</x:v>
      </x:c>
      <x:c r="D4" s="9" t="s">
        <x:v>26</x:v>
      </x:c>
      <x:c r="E4" s="10" t="s">
        <x:v>45</x:v>
      </x:c>
      <x:c r="F4" s="10" t="s">
        <x:v>50</x:v>
      </x:c>
      <x:c r="G4" s="10" t="s">
        <x:v>61</x:v>
      </x:c>
      <x:c r="H4" s="10" t="s">
        <x:v>62</x:v>
      </x:c>
      <x:c r="I4" s="10" t="s">
        <x:v>63</x:v>
      </x:c>
      <x:c r="J4" s="10" t="s">
        <x:v>56</x:v>
      </x:c>
      <x:c r="K4" s="10" t="s">
        <x:v>64</x:v>
      </x:c>
      <x:c r="L4" s="10" t="s">
        <x:v>50</x:v>
      </x:c>
      <x:c r="M4" s="9" t="s">
        <x:v>52</x:v>
      </x:c>
      <x:c r="N4" s="10" t="s">
        <x:v>65</x:v>
      </x:c>
      <x:c r="O4" s="14" t="s">
        <x:v>15</x:v>
      </x:c>
    </x:row>
    <x:row r="5" ht="210" customHeight="1">
      <x:c r="A5" s="9">
        <x:v>4.0</x:v>
      </x:c>
      <x:c r="B5" s="10" t="s">
        <x:v>43</x:v>
      </x:c>
      <x:c r="C5" s="9" t="s">
        <x:v>66</x:v>
      </x:c>
      <x:c r="D5" s="9" t="s">
        <x:v>26</x:v>
      </x:c>
      <x:c r="E5" s="10" t="s">
        <x:v>45</x:v>
      </x:c>
      <x:c r="F5" s="10" t="s">
        <x:v>50</x:v>
      </x:c>
      <x:c r="G5" s="10" t="s">
        <x:v>67</x:v>
      </x:c>
      <x:c r="H5" s="10" t="s">
        <x:v>56</x:v>
      </x:c>
      <x:c r="I5" s="10" t="s">
        <x:v>68</x:v>
      </x:c>
      <x:c r="J5" s="10" t="s">
        <x:v>62</x:v>
      </x:c>
      <x:c r="K5" s="10" t="s">
        <x:v>69</x:v>
      </x:c>
      <x:c r="L5" s="10" t="s">
        <x:v>50</x:v>
      </x:c>
      <x:c r="M5" s="9" t="s">
        <x:v>52</x:v>
      </x:c>
      <x:c r="N5" s="10" t="s">
        <x:v>70</x:v>
      </x:c>
      <x:c r="O5" s="14" t="s">
        <x:v>15</x:v>
      </x:c>
    </x:row>
    <x:row r="6" ht="210" customHeight="1">
      <x:c r="A6" s="9">
        <x:v>5.0</x:v>
      </x:c>
      <x:c r="B6" s="10" t="s">
        <x:v>43</x:v>
      </x:c>
      <x:c r="C6" s="9" t="s">
        <x:v>71</x:v>
      </x:c>
      <x:c r="D6" s="9" t="s">
        <x:v>26</x:v>
      </x:c>
      <x:c r="E6" s="10" t="s">
        <x:v>45</x:v>
      </x:c>
      <x:c r="F6" s="10" t="s">
        <x:v>50</x:v>
      </x:c>
      <x:c r="G6" s="10" t="s">
        <x:v>72</x:v>
      </x:c>
      <x:c r="H6" s="10" t="s">
        <x:v>62</x:v>
      </x:c>
      <x:c r="I6" s="10" t="s">
        <x:v>73</x:v>
      </x:c>
      <x:c r="J6" s="10" t="s">
        <x:v>56</x:v>
      </x:c>
      <x:c r="K6" s="10" t="s">
        <x:v>74</x:v>
      </x:c>
      <x:c r="L6" s="10" t="s">
        <x:v>56</x:v>
      </x:c>
      <x:c r="M6" s="9" t="s">
        <x:v>75</x:v>
      </x:c>
      <x:c r="N6" s="10" t="s">
        <x:v>76</x:v>
      </x:c>
      <x:c r="O6" s="14" t="s">
        <x:v>15</x:v>
      </x:c>
    </x:row>
    <x:row r="7" ht="210" customHeight="1">
      <x:c r="A7" s="9">
        <x:v>6.0</x:v>
      </x:c>
      <x:c r="B7" s="10" t="s">
        <x:v>43</x:v>
      </x:c>
      <x:c r="C7" s="9" t="s">
        <x:v>77</x:v>
      </x:c>
      <x:c r="D7" s="9" t="s">
        <x:v>23</x:v>
      </x:c>
      <x:c r="E7" s="10" t="s">
        <x:v>45</x:v>
      </x:c>
      <x:c r="F7" s="10" t="s">
        <x:v>50</x:v>
      </x:c>
      <x:c r="G7" s="10" t="s">
        <x:v>78</x:v>
      </x:c>
      <x:c r="H7" s="10" t="s">
        <x:v>56</x:v>
      </x:c>
      <x:c r="I7" s="10" t="s">
        <x:v>79</x:v>
      </x:c>
      <x:c r="J7" s="10" t="s">
        <x:v>46</x:v>
      </x:c>
      <x:c r="K7" s="10" t="s">
        <x:v>80</x:v>
      </x:c>
      <x:c r="L7" s="10" t="s">
        <x:v>46</x:v>
      </x:c>
      <x:c r="M7" s="9" t="s">
        <x:v>52</x:v>
      </x:c>
      <x:c r="N7" s="10" t="s">
        <x:v>81</x:v>
      </x:c>
      <x:c r="O7" s="14" t="s">
        <x:v>15</x:v>
      </x:c>
    </x:row>
    <x:row r="8" ht="210" customHeight="1">
      <x:c r="A8" s="9">
        <x:v>7.0</x:v>
      </x:c>
      <x:c r="B8" s="10" t="s">
        <x:v>43</x:v>
      </x:c>
      <x:c r="C8" s="9" t="s">
        <x:v>82</x:v>
      </x:c>
      <x:c r="D8" s="9" t="s">
        <x:v>26</x:v>
      </x:c>
      <x:c r="E8" s="10" t="s">
        <x:v>45</x:v>
      </x:c>
      <x:c r="F8" s="10" t="s">
        <x:v>50</x:v>
      </x:c>
      <x:c r="G8" s="10" t="s">
        <x:v>83</x:v>
      </x:c>
      <x:c r="H8" s="10" t="s">
        <x:v>56</x:v>
      </x:c>
      <x:c r="I8" s="10" t="s">
        <x:v>84</x:v>
      </x:c>
      <x:c r="J8" s="10" t="s">
        <x:v>62</x:v>
      </x:c>
      <x:c r="K8" s="10" t="s">
        <x:v>85</x:v>
      </x:c>
      <x:c r="L8" s="10" t="s">
        <x:v>62</x:v>
      </x:c>
      <x:c r="M8" s="9" t="s">
        <x:v>52</x:v>
      </x:c>
      <x:c r="N8" s="10" t="s">
        <x:v>86</x:v>
      </x:c>
      <x:c r="O8" s="14" t="s">
        <x:v>15</x:v>
      </x:c>
    </x:row>
    <x:row r="9" ht="210" customHeight="1">
      <x:c r="A9" s="9">
        <x:v>8.0</x:v>
      </x:c>
      <x:c r="B9" s="10" t="s">
        <x:v>43</x:v>
      </x:c>
      <x:c r="C9" s="9" t="s">
        <x:v>87</x:v>
      </x:c>
      <x:c r="D9" s="9" t="s">
        <x:v>23</x:v>
      </x:c>
      <x:c r="E9" s="10" t="s">
        <x:v>45</x:v>
      </x:c>
      <x:c r="F9" s="10" t="s">
        <x:v>50</x:v>
      </x:c>
      <x:c r="G9" s="10" t="s">
        <x:v>88</x:v>
      </x:c>
      <x:c r="H9" s="10" t="s">
        <x:v>56</x:v>
      </x:c>
      <x:c r="I9" s="10" t="s">
        <x:v>89</x:v>
      </x:c>
      <x:c r="J9" s="10" t="s">
        <x:v>46</x:v>
      </x:c>
      <x:c r="K9" s="10" t="s">
        <x:v>90</x:v>
      </x:c>
      <x:c r="L9" s="10" t="s">
        <x:v>50</x:v>
      </x:c>
      <x:c r="M9" s="9" t="s">
        <x:v>52</x:v>
      </x:c>
      <x:c r="N9" s="10" t="s">
        <x:v>91</x:v>
      </x:c>
      <x:c r="O9" s="14" t="s">
        <x:v>15</x:v>
      </x:c>
    </x:row>
    <x:row r="10" ht="210" customHeight="1">
      <x:c r="A10" s="9">
        <x:v>9.0</x:v>
      </x:c>
      <x:c r="B10" s="10" t="s">
        <x:v>43</x:v>
      </x:c>
      <x:c r="C10" s="9" t="s">
        <x:v>92</x:v>
      </x:c>
      <x:c r="D10" s="9" t="s">
        <x:v>20</x:v>
      </x:c>
      <x:c r="E10" s="10" t="s">
        <x:v>45</x:v>
      </x:c>
      <x:c r="F10" s="10" t="s">
        <x:v>50</x:v>
      </x:c>
      <x:c r="G10" s="10" t="s">
        <x:v>93</x:v>
      </x:c>
      <x:c r="H10" s="10" t="s">
        <x:v>56</x:v>
      </x:c>
      <x:c r="I10" s="10" t="s">
        <x:v>94</x:v>
      </x:c>
      <x:c r="J10" s="10" t="s">
        <x:v>46</x:v>
      </x:c>
      <x:c r="K10" s="10" t="s">
        <x:v>95</x:v>
      </x:c>
      <x:c r="L10" s="10" t="s">
        <x:v>46</x:v>
      </x:c>
      <x:c r="M10" s="9" t="s">
        <x:v>52</x:v>
      </x:c>
      <x:c r="N10" s="10" t="s">
        <x:v>96</x:v>
      </x:c>
      <x:c r="O10" s="14" t="s">
        <x:v>15</x:v>
      </x:c>
    </x:row>
    <x:row r="11" ht="210" customHeight="1">
      <x:c r="A11" s="9">
        <x:v>10.0</x:v>
      </x:c>
      <x:c r="B11" s="10" t="s">
        <x:v>43</x:v>
      </x:c>
      <x:c r="C11" s="9" t="s">
        <x:v>92</x:v>
      </x:c>
      <x:c r="D11" s="9" t="s">
        <x:v>24</x:v>
      </x:c>
      <x:c r="E11" s="10" t="s">
        <x:v>45</x:v>
      </x:c>
      <x:c r="F11" s="10" t="s">
        <x:v>50</x:v>
      </x:c>
      <x:c r="G11" s="10" t="s">
        <x:v>97</x:v>
      </x:c>
      <x:c r="H11" s="10" t="s">
        <x:v>56</x:v>
      </x:c>
      <x:c r="I11" s="10" t="s">
        <x:v>98</x:v>
      </x:c>
      <x:c r="J11" s="10" t="s">
        <x:v>46</x:v>
      </x:c>
      <x:c r="K11" s="10" t="s">
        <x:v>99</x:v>
      </x:c>
      <x:c r="L11" s="10" t="s">
        <x:v>46</x:v>
      </x:c>
      <x:c r="M11" s="9" t="s">
        <x:v>52</x:v>
      </x:c>
      <x:c r="N11" s="10" t="s">
        <x:v>100</x:v>
      </x:c>
      <x:c r="O11" s="14" t="s">
        <x:v>15</x:v>
      </x:c>
    </x:row>
    <x:row r="12" ht="210" customHeight="1">
      <x:c r="A12" s="9">
        <x:v>11.0</x:v>
      </x:c>
      <x:c r="B12" s="10" t="s">
        <x:v>43</x:v>
      </x:c>
      <x:c r="C12" s="9" t="s">
        <x:v>101</x:v>
      </x:c>
      <x:c r="D12" s="9" t="s">
        <x:v>20</x:v>
      </x:c>
      <x:c r="E12" s="10" t="s">
        <x:v>45</x:v>
      </x:c>
      <x:c r="F12" s="10" t="s">
        <x:v>50</x:v>
      </x:c>
      <x:c r="G12" s="10" t="s">
        <x:v>102</x:v>
      </x:c>
      <x:c r="H12" s="10" t="s">
        <x:v>56</x:v>
      </x:c>
      <x:c r="I12" s="10" t="s">
        <x:v>103</x:v>
      </x:c>
      <x:c r="J12" s="10" t="s">
        <x:v>46</x:v>
      </x:c>
      <x:c r="K12" s="10" t="s">
        <x:v>104</x:v>
      </x:c>
      <x:c r="L12" s="10" t="s">
        <x:v>46</x:v>
      </x:c>
      <x:c r="M12" s="9" t="s">
        <x:v>52</x:v>
      </x:c>
      <x:c r="N12" s="10" t="s">
        <x:v>105</x:v>
      </x:c>
      <x:c r="O12" s="14" t="s">
        <x:v>15</x:v>
      </x:c>
    </x:row>
    <x:row r="13" ht="210" customHeight="1">
      <x:c r="A13" s="9">
        <x:v>12.0</x:v>
      </x:c>
      <x:c r="B13" s="10" t="s">
        <x:v>106</x:v>
      </x:c>
      <x:c r="C13" s="9" t="s">
        <x:v>44</x:v>
      </x:c>
      <x:c r="D13" s="9" t="s">
        <x:v>22</x:v>
      </x:c>
      <x:c r="E13" s="10" t="s">
        <x:v>107</x:v>
      </x:c>
      <x:c r="F13" s="10" t="s">
        <x:v>48</x:v>
      </x:c>
      <x:c r="G13" s="10" t="s">
        <x:v>108</x:v>
      </x:c>
      <x:c r="H13" s="10" t="s">
        <x:v>48</x:v>
      </x:c>
      <x:c r="I13" s="10" t="s">
        <x:v>109</x:v>
      </x:c>
      <x:c r="J13" s="10" t="s">
        <x:v>46</x:v>
      </x:c>
      <x:c r="K13" s="10" t="s">
        <x:v>110</x:v>
      </x:c>
      <x:c r="L13" s="14" t="s">
        <x:v>48</x:v>
      </x:c>
      <x:c r="M13" s="9" t="s">
        <x:v>52</x:v>
      </x:c>
      <x:c r="N13" s="10" t="s">
        <x:v>109</x:v>
      </x:c>
      <x:c r="O13" s="14" t="s">
        <x:v>15</x:v>
      </x:c>
    </x:row>
    <x:row r="14" ht="210" customHeight="1">
      <x:c r="A14" s="9">
        <x:v>13.0</x:v>
      </x:c>
      <x:c r="B14" s="10" t="s">
        <x:v>106</x:v>
      </x:c>
      <x:c r="C14" s="9" t="s">
        <x:v>111</x:v>
      </x:c>
      <x:c r="D14" s="9" t="s">
        <x:v>20</x:v>
      </x:c>
      <x:c r="E14" s="10" t="s">
        <x:v>112</x:v>
      </x:c>
      <x:c r="F14" s="10" t="s">
        <x:v>50</x:v>
      </x:c>
      <x:c r="G14" s="10" t="s">
        <x:v>113</x:v>
      </x:c>
      <x:c r="H14" s="10" t="s">
        <x:v>56</x:v>
      </x:c>
      <x:c r="I14" s="10" t="s">
        <x:v>114</x:v>
      </x:c>
      <x:c r="J14" s="10" t="s">
        <x:v>56</x:v>
      </x:c>
      <x:c r="K14" s="10" t="s">
        <x:v>115</x:v>
      </x:c>
      <x:c r="L14" s="10" t="s">
        <x:v>56</x:v>
      </x:c>
      <x:c r="M14" s="9" t="s">
        <x:v>52</x:v>
      </x:c>
      <x:c r="N14" s="10" t="s">
        <x:v>116</x:v>
      </x:c>
      <x:c r="O14" s="14" t="s">
        <x:v>15</x:v>
      </x:c>
    </x:row>
    <x:row r="15" ht="210" customHeight="1">
      <x:c r="A15" s="9">
        <x:v>14.0</x:v>
      </x:c>
      <x:c r="B15" s="10" t="s">
        <x:v>106</x:v>
      </x:c>
      <x:c r="C15" s="9" t="s">
        <x:v>111</x:v>
      </x:c>
      <x:c r="D15" s="9" t="s">
        <x:v>25</x:v>
      </x:c>
      <x:c r="E15" s="10" t="s">
        <x:v>117</x:v>
      </x:c>
      <x:c r="F15" s="10" t="s">
        <x:v>56</x:v>
      </x:c>
      <x:c r="G15" s="10" t="s">
        <x:v>118</x:v>
      </x:c>
      <x:c r="H15" s="10" t="s">
        <x:v>56</x:v>
      </x:c>
      <x:c r="I15" s="10" t="s">
        <x:v>119</x:v>
      </x:c>
      <x:c r="J15" s="10" t="s">
        <x:v>48</x:v>
      </x:c>
      <x:c r="K15" s="10" t="s">
        <x:v>120</x:v>
      </x:c>
      <x:c r="L15" s="10" t="s">
        <x:v>56</x:v>
      </x:c>
      <x:c r="M15" s="9" t="s">
        <x:v>52</x:v>
      </x:c>
      <x:c r="N15" s="10" t="s">
        <x:v>121</x:v>
      </x:c>
      <x:c r="O15" s="14" t="s">
        <x:v>15</x:v>
      </x:c>
    </x:row>
    <x:row r="16" ht="210" customHeight="1">
      <x:c r="A16" s="9">
        <x:v>15.0</x:v>
      </x:c>
      <x:c r="B16" s="10" t="s">
        <x:v>106</x:v>
      </x:c>
      <x:c r="C16" s="9" t="s">
        <x:v>111</x:v>
      </x:c>
      <x:c r="D16" s="9" t="str">
        <x:v>Observed cookie/storage names</x:v>
      </x:c>
      <x:c r="E16" s="10" t="s">
        <x:v>117</x:v>
      </x:c>
      <x:c r="F16" s="10" t="s">
        <x:v>56</x:v>
      </x:c>
      <x:c r="G16" s="10" t="s">
        <x:v>122</x:v>
      </x:c>
      <x:c r="H16" s="10" t="s">
        <x:v>56</x:v>
      </x:c>
      <x:c r="I16" s="10" t="s">
        <x:v>123</x:v>
      </x:c>
      <x:c r="J16" s="10" t="s">
        <x:v>50</x:v>
      </x:c>
      <x:c r="K16" s="10" t="s">
        <x:v>124</x:v>
      </x:c>
      <x:c r="L16" s="10" t="s">
        <x:v>50</x:v>
      </x:c>
      <x:c r="M16" s="9" t="s">
        <x:v>52</x:v>
      </x:c>
      <x:c r="N16" s="10" t="s">
        <x:v>125</x:v>
      </x:c>
      <x:c r="O16" s="14" t="s">
        <x:v>15</x:v>
      </x:c>
    </x:row>
    <x:row r="17" ht="210" customHeight="1">
      <x:c r="A17" s="9">
        <x:v>16.0</x:v>
      </x:c>
      <x:c r="B17" s="10" t="s">
        <x:v>106</x:v>
      </x:c>
      <x:c r="C17" s="9" t="s">
        <x:v>111</x:v>
      </x:c>
      <x:c r="D17" s="9" t="s">
        <x:v>26</x:v>
      </x:c>
      <x:c r="E17" s="10" t="s">
        <x:v>112</x:v>
      </x:c>
      <x:c r="F17" s="10" t="s">
        <x:v>50</x:v>
      </x:c>
      <x:c r="G17" s="10" t="s">
        <x:v>126</x:v>
      </x:c>
      <x:c r="H17" s="10" t="s">
        <x:v>56</x:v>
      </x:c>
      <x:c r="I17" s="10" t="s">
        <x:v>127</x:v>
      </x:c>
      <x:c r="J17" s="10" t="s">
        <x:v>56</x:v>
      </x:c>
      <x:c r="K17" s="10" t="s">
        <x:v>128</x:v>
      </x:c>
      <x:c r="L17" s="14" t="s">
        <x:v>50</x:v>
      </x:c>
      <x:c r="M17" s="9" t="s">
        <x:v>52</x:v>
      </x:c>
      <x:c r="N17" s="10" t="s">
        <x:v>126</x:v>
      </x:c>
      <x:c r="O17" s="14" t="s">
        <x:v>15</x:v>
      </x:c>
    </x:row>
    <x:row r="18" ht="210" customHeight="1">
      <x:c r="A18" s="9">
        <x:v>17.0</x:v>
      </x:c>
      <x:c r="B18" s="10" t="s">
        <x:v>106</x:v>
      </x:c>
      <x:c r="C18" s="9" t="s">
        <x:v>54</x:v>
      </x:c>
      <x:c r="D18" s="9" t="s">
        <x:v>22</x:v>
      </x:c>
      <x:c r="E18" s="10" t="s">
        <x:v>129</x:v>
      </x:c>
      <x:c r="F18" s="10" t="s">
        <x:v>48</x:v>
      </x:c>
      <x:c r="G18" s="10" t="s">
        <x:v>108</x:v>
      </x:c>
      <x:c r="H18" s="10" t="s">
        <x:v>46</x:v>
      </x:c>
      <x:c r="I18" s="10" t="s">
        <x:v>130</x:v>
      </x:c>
      <x:c r="J18" s="10" t="s">
        <x:v>46</x:v>
      </x:c>
      <x:c r="K18" s="10" t="s">
        <x:v>131</x:v>
      </x:c>
      <x:c r="L18" s="10" t="s">
        <x:v>46</x:v>
      </x:c>
      <x:c r="M18" s="9" t="s">
        <x:v>75</x:v>
      </x:c>
      <x:c r="N18" s="10" t="s">
        <x:v>132</x:v>
      </x:c>
      <x:c r="O18" s="14" t="s">
        <x:v>15</x:v>
      </x:c>
    </x:row>
    <x:row r="19" ht="210" customHeight="1">
      <x:c r="A19" s="9">
        <x:v>18.0</x:v>
      </x:c>
      <x:c r="B19" s="10" t="s">
        <x:v>106</x:v>
      </x:c>
      <x:c r="C19" s="9" t="s">
        <x:v>54</x:v>
      </x:c>
      <x:c r="D19" s="9" t="s">
        <x:v>25</x:v>
      </x:c>
      <x:c r="E19" s="10" t="s">
        <x:v>133</x:v>
      </x:c>
      <x:c r="F19" s="10" t="s">
        <x:v>46</x:v>
      </x:c>
      <x:c r="G19" s="10" t="s">
        <x:v>134</x:v>
      </x:c>
      <x:c r="H19" s="10" t="s">
        <x:v>48</x:v>
      </x:c>
      <x:c r="I19" s="10" t="s">
        <x:v>135</x:v>
      </x:c>
      <x:c r="J19" s="10" t="s">
        <x:v>46</x:v>
      </x:c>
      <x:c r="K19" s="10" t="s">
        <x:v>136</x:v>
      </x:c>
      <x:c r="L19" s="10" t="s">
        <x:v>46</x:v>
      </x:c>
      <x:c r="M19" s="9" t="s">
        <x:v>52</x:v>
      </x:c>
      <x:c r="N19" s="10" t="s">
        <x:v>137</x:v>
      </x:c>
      <x:c r="O19" s="14" t="s">
        <x:v>15</x:v>
      </x:c>
    </x:row>
    <x:row r="20" ht="210" customHeight="1">
      <x:c r="A20" s="9">
        <x:v>19.0</x:v>
      </x:c>
      <x:c r="B20" s="10" t="s">
        <x:v>106</x:v>
      </x:c>
      <x:c r="C20" s="9" t="s">
        <x:v>54</x:v>
      </x:c>
      <x:c r="D20" s="9" t="str">
        <x:v>Observed cookie/storage names</x:v>
      </x:c>
      <x:c r="E20" s="10" t="s">
        <x:v>117</x:v>
      </x:c>
      <x:c r="F20" s="10" t="s">
        <x:v>56</x:v>
      </x:c>
      <x:c r="G20" s="10" t="s">
        <x:v>122</x:v>
      </x:c>
      <x:c r="H20" s="10" t="s">
        <x:v>56</x:v>
      </x:c>
      <x:c r="I20" s="10" t="s">
        <x:v>123</x:v>
      </x:c>
      <x:c r="J20" s="10" t="s">
        <x:v>50</x:v>
      </x:c>
      <x:c r="K20" s="10" t="s">
        <x:v>138</x:v>
      </x:c>
      <x:c r="L20" s="10" t="s">
        <x:v>50</x:v>
      </x:c>
      <x:c r="M20" s="9" t="s">
        <x:v>52</x:v>
      </x:c>
      <x:c r="N20" s="10" t="s">
        <x:v>139</x:v>
      </x:c>
      <x:c r="O20" s="14" t="s">
        <x:v>15</x:v>
      </x:c>
    </x:row>
    <x:row r="21" ht="210" customHeight="1">
      <x:c r="A21" s="9">
        <x:v>20.0</x:v>
      </x:c>
      <x:c r="B21" s="10" t="s">
        <x:v>106</x:v>
      </x:c>
      <x:c r="C21" s="9" t="s">
        <x:v>54</x:v>
      </x:c>
      <x:c r="D21" s="9" t="s">
        <x:v>26</x:v>
      </x:c>
      <x:c r="E21" s="10" t="s">
        <x:v>140</x:v>
      </x:c>
      <x:c r="F21" s="10" t="s">
        <x:v>50</x:v>
      </x:c>
      <x:c r="G21" s="10" t="s">
        <x:v>141</x:v>
      </x:c>
      <x:c r="H21" s="10" t="s">
        <x:v>50</x:v>
      </x:c>
      <x:c r="I21" s="10" t="s">
        <x:v>142</x:v>
      </x:c>
      <x:c r="J21" s="10" t="s">
        <x:v>62</x:v>
      </x:c>
      <x:c r="K21" s="10" t="s">
        <x:v>143</x:v>
      </x:c>
      <x:c r="L21" s="10" t="s">
        <x:v>50</x:v>
      </x:c>
      <x:c r="M21" s="9" t="s">
        <x:v>52</x:v>
      </x:c>
      <x:c r="N21" s="10" t="s">
        <x:v>144</x:v>
      </x:c>
      <x:c r="O21" s="14" t="s">
        <x:v>15</x:v>
      </x:c>
    </x:row>
    <x:row r="22" ht="210" customHeight="1">
      <x:c r="A22" s="9">
        <x:v>21.0</x:v>
      </x:c>
      <x:c r="B22" s="10" t="s">
        <x:v>106</x:v>
      </x:c>
      <x:c r="C22" s="9" t="s">
        <x:v>60</x:v>
      </x:c>
      <x:c r="D22" s="9" t="s">
        <x:v>21</x:v>
      </x:c>
      <x:c r="E22" s="10" t="s">
        <x:v>133</x:v>
      </x:c>
      <x:c r="F22" s="10" t="s">
        <x:v>46</x:v>
      </x:c>
      <x:c r="G22" s="10" t="s">
        <x:v>145</x:v>
      </x:c>
      <x:c r="H22" s="10" t="s">
        <x:v>50</x:v>
      </x:c>
      <x:c r="I22" s="10" t="s">
        <x:v>146</x:v>
      </x:c>
      <x:c r="J22" s="10" t="s">
        <x:v>46</x:v>
      </x:c>
      <x:c r="K22" s="10" t="s">
        <x:v>147</x:v>
      </x:c>
      <x:c r="L22" s="10" t="s">
        <x:v>46</x:v>
      </x:c>
      <x:c r="M22" s="9" t="s">
        <x:v>52</x:v>
      </x:c>
      <x:c r="N22" s="10" t="s">
        <x:v>148</x:v>
      </x:c>
      <x:c r="O22" s="14" t="s">
        <x:v>15</x:v>
      </x:c>
    </x:row>
    <x:row r="23" ht="210" customHeight="1">
      <x:c r="A23" s="9">
        <x:v>22.0</x:v>
      </x:c>
      <x:c r="B23" s="10" t="s">
        <x:v>106</x:v>
      </x:c>
      <x:c r="C23" s="9" t="s">
        <x:v>60</x:v>
      </x:c>
      <x:c r="D23" s="9" t="s">
        <x:v>22</x:v>
      </x:c>
      <x:c r="E23" s="10" t="s">
        <x:v>140</x:v>
      </x:c>
      <x:c r="F23" s="10" t="s">
        <x:v>50</x:v>
      </x:c>
      <x:c r="G23" s="10" t="s">
        <x:v>149</x:v>
      </x:c>
      <x:c r="H23" s="10" t="s">
        <x:v>50</x:v>
      </x:c>
      <x:c r="I23" s="10" t="s">
        <x:v>150</x:v>
      </x:c>
      <x:c r="J23" s="10" t="s">
        <x:v>48</x:v>
      </x:c>
      <x:c r="K23" s="10" t="s">
        <x:v>151</x:v>
      </x:c>
      <x:c r="L23" s="10" t="s">
        <x:v>50</x:v>
      </x:c>
      <x:c r="M23" s="9" t="s">
        <x:v>75</x:v>
      </x:c>
      <x:c r="N23" s="10" t="s">
        <x:v>152</x:v>
      </x:c>
      <x:c r="O23" s="14" t="s">
        <x:v>15</x:v>
      </x:c>
    </x:row>
    <x:row r="24" ht="210" customHeight="1">
      <x:c r="A24" s="9">
        <x:v>23.0</x:v>
      </x:c>
      <x:c r="B24" s="10" t="s">
        <x:v>106</x:v>
      </x:c>
      <x:c r="C24" s="9" t="s">
        <x:v>153</x:v>
      </x:c>
      <x:c r="D24" s="9" t="s">
        <x:v>22</x:v>
      </x:c>
      <x:c r="E24" s="10" t="s">
        <x:v>140</x:v>
      </x:c>
      <x:c r="F24" s="10" t="s">
        <x:v>50</x:v>
      </x:c>
      <x:c r="G24" s="10" t="s">
        <x:v>154</x:v>
      </x:c>
      <x:c r="H24" s="10" t="s">
        <x:v>50</x:v>
      </x:c>
      <x:c r="I24" s="10" t="s">
        <x:v>155</x:v>
      </x:c>
      <x:c r="J24" s="10" t="s">
        <x:v>48</x:v>
      </x:c>
      <x:c r="K24" s="10" t="s">
        <x:v>156</x:v>
      </x:c>
      <x:c r="L24" s="10" t="s">
        <x:v>50</x:v>
      </x:c>
      <x:c r="M24" s="9" t="s">
        <x:v>52</x:v>
      </x:c>
      <x:c r="N24" s="10" t="s">
        <x:v>157</x:v>
      </x:c>
      <x:c r="O24" s="14" t="s">
        <x:v>15</x:v>
      </x:c>
    </x:row>
    <x:row r="25" ht="210" customHeight="1">
      <x:c r="A25" s="9">
        <x:v>24.0</x:v>
      </x:c>
      <x:c r="B25" s="10" t="s">
        <x:v>106</x:v>
      </x:c>
      <x:c r="C25" s="9" t="s">
        <x:v>153</x:v>
      </x:c>
      <x:c r="D25" s="9" t="str">
        <x:v>Observed cookie/storage names</x:v>
      </x:c>
      <x:c r="E25" s="10" t="s">
        <x:v>117</x:v>
      </x:c>
      <x:c r="F25" s="10" t="s">
        <x:v>56</x:v>
      </x:c>
      <x:c r="G25" s="10" t="s">
        <x:v>122</x:v>
      </x:c>
      <x:c r="H25" s="10" t="s">
        <x:v>56</x:v>
      </x:c>
      <x:c r="I25" s="10" t="s">
        <x:v>123</x:v>
      </x:c>
      <x:c r="J25" s="10" t="s">
        <x:v>50</x:v>
      </x:c>
      <x:c r="K25" s="10" t="s">
        <x:v>158</x:v>
      </x:c>
      <x:c r="L25" s="10" t="s">
        <x:v>50</x:v>
      </x:c>
      <x:c r="M25" s="9" t="s">
        <x:v>52</x:v>
      </x:c>
      <x:c r="N25" s="10" t="s">
        <x:v>159</x:v>
      </x:c>
      <x:c r="O25" s="14" t="s">
        <x:v>15</x:v>
      </x:c>
    </x:row>
    <x:row r="26" ht="210" customHeight="1">
      <x:c r="A26" s="9">
        <x:v>25.0</x:v>
      </x:c>
      <x:c r="B26" s="10" t="s">
        <x:v>106</x:v>
      </x:c>
      <x:c r="C26" s="9" t="s">
        <x:v>153</x:v>
      </x:c>
      <x:c r="D26" s="9" t="s">
        <x:v>26</x:v>
      </x:c>
      <x:c r="E26" s="10" t="s">
        <x:v>160</x:v>
      </x:c>
      <x:c r="F26" s="10" t="s">
        <x:v>62</x:v>
      </x:c>
      <x:c r="G26" s="10" t="s">
        <x:v>161</x:v>
      </x:c>
      <x:c r="H26" s="10" t="s">
        <x:v>50</x:v>
      </x:c>
      <x:c r="I26" s="10" t="s">
        <x:v>162</x:v>
      </x:c>
      <x:c r="J26" s="10" t="s">
        <x:v>62</x:v>
      </x:c>
      <x:c r="K26" s="10" t="s">
        <x:v>163</x:v>
      </x:c>
      <x:c r="L26" s="14" t="s">
        <x:v>50</x:v>
      </x:c>
      <x:c r="M26" s="9" t="s">
        <x:v>52</x:v>
      </x:c>
      <x:c r="N26" s="10" t="s">
        <x:v>162</x:v>
      </x:c>
      <x:c r="O26" s="14" t="s">
        <x:v>15</x:v>
      </x:c>
    </x:row>
    <x:row r="27" ht="210" customHeight="1">
      <x:c r="A27" s="9">
        <x:v>26.0</x:v>
      </x:c>
      <x:c r="B27" s="10" t="s">
        <x:v>106</x:v>
      </x:c>
      <x:c r="C27" s="9" t="s">
        <x:v>66</x:v>
      </x:c>
      <x:c r="D27" s="9" t="s">
        <x:v>24</x:v>
      </x:c>
      <x:c r="E27" s="10" t="s">
        <x:v>140</x:v>
      </x:c>
      <x:c r="F27" s="10" t="s">
        <x:v>50</x:v>
      </x:c>
      <x:c r="G27" s="10" t="s">
        <x:v>164</x:v>
      </x:c>
      <x:c r="H27" s="10" t="s">
        <x:v>50</x:v>
      </x:c>
      <x:c r="I27" s="10" t="s">
        <x:v>165</x:v>
      </x:c>
      <x:c r="J27" s="10" t="s">
        <x:v>46</x:v>
      </x:c>
      <x:c r="K27" s="10" t="s">
        <x:v>166</x:v>
      </x:c>
      <x:c r="L27" s="10" t="s">
        <x:v>50</x:v>
      </x:c>
      <x:c r="M27" s="9" t="s">
        <x:v>52</x:v>
      </x:c>
      <x:c r="N27" s="10" t="s">
        <x:v>167</x:v>
      </x:c>
      <x:c r="O27" s="14" t="s">
        <x:v>15</x:v>
      </x:c>
    </x:row>
    <x:row r="28" ht="210" customHeight="1">
      <x:c r="A28" s="9">
        <x:v>27.0</x:v>
      </x:c>
      <x:c r="B28" s="10" t="s">
        <x:v>106</x:v>
      </x:c>
      <x:c r="C28" s="9" t="s">
        <x:v>66</x:v>
      </x:c>
      <x:c r="D28" s="9" t="str">
        <x:v>Observed cookie/storage names</x:v>
      </x:c>
      <x:c r="E28" s="10" t="s">
        <x:v>117</x:v>
      </x:c>
      <x:c r="F28" s="10" t="s">
        <x:v>56</x:v>
      </x:c>
      <x:c r="G28" s="10" t="s">
        <x:v>122</x:v>
      </x:c>
      <x:c r="H28" s="10" t="s">
        <x:v>56</x:v>
      </x:c>
      <x:c r="I28" s="10" t="s">
        <x:v>168</x:v>
      </x:c>
      <x:c r="J28" s="10" t="s">
        <x:v>50</x:v>
      </x:c>
      <x:c r="K28" s="10" t="s">
        <x:v>169</x:v>
      </x:c>
      <x:c r="L28" s="10" t="s">
        <x:v>50</x:v>
      </x:c>
      <x:c r="M28" s="9" t="s">
        <x:v>52</x:v>
      </x:c>
      <x:c r="N28" s="10" t="s">
        <x:v>170</x:v>
      </x:c>
      <x:c r="O28" s="14" t="s">
        <x:v>15</x:v>
      </x:c>
    </x:row>
    <x:row r="29" ht="210" customHeight="1">
      <x:c r="A29" s="9">
        <x:v>28.0</x:v>
      </x:c>
      <x:c r="B29" s="10" t="s">
        <x:v>106</x:v>
      </x:c>
      <x:c r="C29" s="9" t="s">
        <x:v>171</x:v>
      </x:c>
      <x:c r="D29" s="9" t="s">
        <x:v>22</x:v>
      </x:c>
      <x:c r="E29" s="10" t="s">
        <x:v>107</x:v>
      </x:c>
      <x:c r="F29" s="10" t="s">
        <x:v>48</x:v>
      </x:c>
      <x:c r="G29" s="10" t="s">
        <x:v>108</x:v>
      </x:c>
      <x:c r="H29" s="10" t="s">
        <x:v>48</x:v>
      </x:c>
      <x:c r="I29" s="10" t="s">
        <x:v>109</x:v>
      </x:c>
      <x:c r="J29" s="10" t="s">
        <x:v>50</x:v>
      </x:c>
      <x:c r="K29" s="10" t="s">
        <x:v>172</x:v>
      </x:c>
      <x:c r="L29" s="10" t="s">
        <x:v>50</x:v>
      </x:c>
      <x:c r="M29" s="9" t="s">
        <x:v>52</x:v>
      </x:c>
      <x:c r="N29" s="10" t="s">
        <x:v>173</x:v>
      </x:c>
      <x:c r="O29" s="14" t="s">
        <x:v>15</x:v>
      </x:c>
    </x:row>
    <x:row r="30" ht="210" customHeight="1">
      <x:c r="A30" s="9">
        <x:v>29.0</x:v>
      </x:c>
      <x:c r="B30" s="10" t="s">
        <x:v>106</x:v>
      </x:c>
      <x:c r="C30" s="9" t="s">
        <x:v>171</x:v>
      </x:c>
      <x:c r="D30" s="9" t="str">
        <x:v>Observed cookie/storage names</x:v>
      </x:c>
      <x:c r="E30" s="10" t="s">
        <x:v>117</x:v>
      </x:c>
      <x:c r="F30" s="10" t="s">
        <x:v>56</x:v>
      </x:c>
      <x:c r="G30" s="10" t="s">
        <x:v>122</x:v>
      </x:c>
      <x:c r="H30" s="10" t="s">
        <x:v>56</x:v>
      </x:c>
      <x:c r="I30" s="10" t="s">
        <x:v>123</x:v>
      </x:c>
      <x:c r="J30" s="10" t="s">
        <x:v>50</x:v>
      </x:c>
      <x:c r="K30" s="10" t="s">
        <x:v>174</x:v>
      </x:c>
      <x:c r="L30" s="10" t="s">
        <x:v>50</x:v>
      </x:c>
      <x:c r="M30" s="9" t="s">
        <x:v>52</x:v>
      </x:c>
      <x:c r="N30" s="10" t="s">
        <x:v>175</x:v>
      </x:c>
      <x:c r="O30" s="14" t="s">
        <x:v>15</x:v>
      </x:c>
    </x:row>
    <x:row r="31" ht="210" customHeight="1">
      <x:c r="A31" s="9">
        <x:v>30.0</x:v>
      </x:c>
      <x:c r="B31" s="10" t="s">
        <x:v>106</x:v>
      </x:c>
      <x:c r="C31" s="9" t="s">
        <x:v>171</x:v>
      </x:c>
      <x:c r="D31" s="9" t="s">
        <x:v>26</x:v>
      </x:c>
      <x:c r="E31" s="10" t="s">
        <x:v>112</x:v>
      </x:c>
      <x:c r="F31" s="10" t="s">
        <x:v>50</x:v>
      </x:c>
      <x:c r="G31" s="10" t="s">
        <x:v>176</x:v>
      </x:c>
      <x:c r="H31" s="10" t="s">
        <x:v>56</x:v>
      </x:c>
      <x:c r="I31" s="10" t="s">
        <x:v>177</x:v>
      </x:c>
      <x:c r="J31" s="10" t="s">
        <x:v>56</x:v>
      </x:c>
      <x:c r="K31" s="10" t="s">
        <x:v>178</x:v>
      </x:c>
      <x:c r="L31" s="10" t="s">
        <x:v>56</x:v>
      </x:c>
      <x:c r="M31" s="9" t="s">
        <x:v>52</x:v>
      </x:c>
      <x:c r="N31" s="10" t="s">
        <x:v>179</x:v>
      </x:c>
      <x:c r="O31" s="14" t="s">
        <x:v>15</x:v>
      </x:c>
    </x:row>
    <x:row r="32" ht="210" customHeight="1">
      <x:c r="A32" s="9">
        <x:v>31.0</x:v>
      </x:c>
      <x:c r="B32" s="10" t="s">
        <x:v>106</x:v>
      </x:c>
      <x:c r="C32" s="9" t="s">
        <x:v>180</x:v>
      </x:c>
      <x:c r="D32" s="9" t="str">
        <x:v>Observed cookie/storage names</x:v>
      </x:c>
      <x:c r="E32" s="10" t="s">
        <x:v>117</x:v>
      </x:c>
      <x:c r="F32" s="10" t="s">
        <x:v>56</x:v>
      </x:c>
      <x:c r="G32" s="10" t="s">
        <x:v>122</x:v>
      </x:c>
      <x:c r="H32" s="10" t="s">
        <x:v>56</x:v>
      </x:c>
      <x:c r="I32" s="10" t="s">
        <x:v>123</x:v>
      </x:c>
      <x:c r="J32" s="10" t="s">
        <x:v>50</x:v>
      </x:c>
      <x:c r="K32" s="10" t="s">
        <x:v>181</x:v>
      </x:c>
      <x:c r="L32" s="10" t="s">
        <x:v>50</x:v>
      </x:c>
      <x:c r="M32" s="9" t="s">
        <x:v>52</x:v>
      </x:c>
      <x:c r="N32" s="10" t="s">
        <x:v>182</x:v>
      </x:c>
      <x:c r="O32" s="14" t="s">
        <x:v>15</x:v>
      </x:c>
    </x:row>
    <x:row r="33" ht="210" customHeight="1">
      <x:c r="A33" s="9">
        <x:v>32.0</x:v>
      </x:c>
      <x:c r="B33" s="10" t="s">
        <x:v>106</x:v>
      </x:c>
      <x:c r="C33" s="9" t="s">
        <x:v>180</x:v>
      </x:c>
      <x:c r="D33" s="9" t="s">
        <x:v>26</x:v>
      </x:c>
      <x:c r="E33" s="10" t="s">
        <x:v>112</x:v>
      </x:c>
      <x:c r="F33" s="10" t="s">
        <x:v>62</x:v>
      </x:c>
      <x:c r="G33" s="10" t="s">
        <x:v>183</x:v>
      </x:c>
      <x:c r="H33" s="10" t="s">
        <x:v>56</x:v>
      </x:c>
      <x:c r="I33" s="10" t="s">
        <x:v>184</x:v>
      </x:c>
      <x:c r="J33" s="10" t="s">
        <x:v>56</x:v>
      </x:c>
      <x:c r="K33" s="10" t="s">
        <x:v>185</x:v>
      </x:c>
      <x:c r="L33" s="10" t="s">
        <x:v>56</x:v>
      </x:c>
      <x:c r="M33" s="9" t="s">
        <x:v>75</x:v>
      </x:c>
      <x:c r="N33" s="10" t="s">
        <x:v>186</x:v>
      </x:c>
      <x:c r="O33" s="14" t="s">
        <x:v>15</x:v>
      </x:c>
    </x:row>
    <x:row r="34" ht="210" customHeight="1">
      <x:c r="A34" s="9">
        <x:v>33.0</x:v>
      </x:c>
      <x:c r="B34" s="10" t="s">
        <x:v>106</x:v>
      </x:c>
      <x:c r="C34" s="9" t="s">
        <x:v>187</x:v>
      </x:c>
      <x:c r="D34" s="9" t="str">
        <x:v>Observed cookie/storage names</x:v>
      </x:c>
      <x:c r="E34" s="10" t="s">
        <x:v>117</x:v>
      </x:c>
      <x:c r="F34" s="10" t="s">
        <x:v>56</x:v>
      </x:c>
      <x:c r="G34" s="10" t="s">
        <x:v>122</x:v>
      </x:c>
      <x:c r="H34" s="10" t="s">
        <x:v>56</x:v>
      </x:c>
      <x:c r="I34" s="10" t="s">
        <x:v>123</x:v>
      </x:c>
      <x:c r="J34" s="10" t="s">
        <x:v>50</x:v>
      </x:c>
      <x:c r="K34" s="10" t="s">
        <x:v>188</x:v>
      </x:c>
      <x:c r="L34" s="10" t="s">
        <x:v>50</x:v>
      </x:c>
      <x:c r="M34" s="9" t="s">
        <x:v>52</x:v>
      </x:c>
      <x:c r="N34" s="10" t="s">
        <x:v>189</x:v>
      </x:c>
      <x:c r="O34" s="14" t="s">
        <x:v>15</x:v>
      </x:c>
    </x:row>
    <x:row r="35" ht="210" customHeight="1">
      <x:c r="A35" s="9">
        <x:v>34.0</x:v>
      </x:c>
      <x:c r="B35" s="10" t="s">
        <x:v>106</x:v>
      </x:c>
      <x:c r="C35" s="9" t="s">
        <x:v>187</x:v>
      </x:c>
      <x:c r="D35" s="9" t="s">
        <x:v>26</x:v>
      </x:c>
      <x:c r="E35" s="10" t="s">
        <x:v>190</x:v>
      </x:c>
      <x:c r="F35" s="10" t="s">
        <x:v>50</x:v>
      </x:c>
      <x:c r="G35" s="10" t="s">
        <x:v>191</x:v>
      </x:c>
      <x:c r="H35" s="10" t="s">
        <x:v>48</x:v>
      </x:c>
      <x:c r="I35" s="10" t="s">
        <x:v>192</x:v>
      </x:c>
      <x:c r="J35" s="10" t="s">
        <x:v>50</x:v>
      </x:c>
      <x:c r="K35" s="10" t="s">
        <x:v>193</x:v>
      </x:c>
      <x:c r="L35" s="10" t="s">
        <x:v>50</x:v>
      </x:c>
      <x:c r="M35" s="9" t="s">
        <x:v>52</x:v>
      </x:c>
      <x:c r="N35" s="10" t="s">
        <x:v>194</x:v>
      </x:c>
      <x:c r="O35" s="14" t="s">
        <x:v>15</x:v>
      </x:c>
    </x:row>
    <x:row r="36" ht="210" customHeight="1">
      <x:c r="A36" s="9">
        <x:v>35.0</x:v>
      </x:c>
      <x:c r="B36" s="10" t="s">
        <x:v>106</x:v>
      </x:c>
      <x:c r="C36" s="9" t="s">
        <x:v>195</x:v>
      </x:c>
      <x:c r="D36" s="9" t="s">
        <x:v>24</x:v>
      </x:c>
      <x:c r="E36" s="10" t="s">
        <x:v>140</x:v>
      </x:c>
      <x:c r="F36" s="10" t="s">
        <x:v>50</x:v>
      </x:c>
      <x:c r="G36" s="10" t="s">
        <x:v>196</x:v>
      </x:c>
      <x:c r="H36" s="10" t="s">
        <x:v>50</x:v>
      </x:c>
      <x:c r="I36" s="10" t="s">
        <x:v>197</x:v>
      </x:c>
      <x:c r="J36" s="10" t="s">
        <x:v>46</x:v>
      </x:c>
      <x:c r="K36" s="10" t="s">
        <x:v>198</x:v>
      </x:c>
      <x:c r="L36" s="10" t="s">
        <x:v>50</x:v>
      </x:c>
      <x:c r="M36" s="9" t="s">
        <x:v>52</x:v>
      </x:c>
      <x:c r="N36" s="10" t="s">
        <x:v>199</x:v>
      </x:c>
      <x:c r="O36" s="14" t="s">
        <x:v>15</x:v>
      </x:c>
    </x:row>
    <x:row r="37" ht="210" customHeight="1">
      <x:c r="A37" s="9">
        <x:v>36.0</x:v>
      </x:c>
      <x:c r="B37" s="10" t="s">
        <x:v>106</x:v>
      </x:c>
      <x:c r="C37" s="9" t="s">
        <x:v>195</x:v>
      </x:c>
      <x:c r="D37" s="9" t="str">
        <x:v>Observed cookie/storage names</x:v>
      </x:c>
      <x:c r="E37" s="10" t="s">
        <x:v>129</x:v>
      </x:c>
      <x:c r="F37" s="10" t="s">
        <x:v>56</x:v>
      </x:c>
      <x:c r="G37" s="10" t="s">
        <x:v>122</x:v>
      </x:c>
      <x:c r="H37" s="10" t="s">
        <x:v>46</x:v>
      </x:c>
      <x:c r="I37" s="10" t="s">
        <x:v>200</x:v>
      </x:c>
      <x:c r="J37" s="10" t="s">
        <x:v>46</x:v>
      </x:c>
      <x:c r="K37" s="10" t="s">
        <x:v>201</x:v>
      </x:c>
      <x:c r="L37" s="10" t="s">
        <x:v>46</x:v>
      </x:c>
      <x:c r="M37" s="9" t="s">
        <x:v>52</x:v>
      </x:c>
      <x:c r="N37" s="10" t="s">
        <x:v>202</x:v>
      </x:c>
      <x:c r="O37" s="14" t="s">
        <x:v>15</x:v>
      </x:c>
    </x:row>
    <x:row r="38" ht="210" customHeight="1">
      <x:c r="A38" s="9">
        <x:v>37.0</x:v>
      </x:c>
      <x:c r="B38" s="10" t="s">
        <x:v>106</x:v>
      </x:c>
      <x:c r="C38" s="9" t="s">
        <x:v>195</x:v>
      </x:c>
      <x:c r="D38" s="9" t="s">
        <x:v>26</x:v>
      </x:c>
      <x:c r="E38" s="10" t="s">
        <x:v>160</x:v>
      </x:c>
      <x:c r="F38" s="10" t="s">
        <x:v>62</x:v>
      </x:c>
      <x:c r="G38" s="10" t="s">
        <x:v>203</x:v>
      </x:c>
      <x:c r="H38" s="10" t="s">
        <x:v>48</x:v>
      </x:c>
      <x:c r="I38" s="10" t="s">
        <x:v>204</x:v>
      </x:c>
      <x:c r="J38" s="10" t="s">
        <x:v>62</x:v>
      </x:c>
      <x:c r="K38" s="10" t="s">
        <x:v>205</x:v>
      </x:c>
      <x:c r="L38" s="10" t="s">
        <x:v>62</x:v>
      </x:c>
      <x:c r="M38" s="9" t="s">
        <x:v>52</x:v>
      </x:c>
      <x:c r="N38" s="10" t="s">
        <x:v>206</x:v>
      </x:c>
      <x:c r="O38" s="14" t="s">
        <x:v>15</x:v>
      </x:c>
    </x:row>
    <x:row r="39" ht="210" customHeight="1">
      <x:c r="A39" s="9">
        <x:v>38.0</x:v>
      </x:c>
      <x:c r="B39" s="10" t="s">
        <x:v>106</x:v>
      </x:c>
      <x:c r="C39" s="9" t="s">
        <x:v>71</x:v>
      </x:c>
      <x:c r="D39" s="9" t="s">
        <x:v>20</x:v>
      </x:c>
      <x:c r="E39" s="10" t="s">
        <x:v>140</x:v>
      </x:c>
      <x:c r="F39" s="10" t="s">
        <x:v>50</x:v>
      </x:c>
      <x:c r="G39" s="10" t="s">
        <x:v>207</x:v>
      </x:c>
      <x:c r="H39" s="10" t="s">
        <x:v>50</x:v>
      </x:c>
      <x:c r="I39" s="10" t="s">
        <x:v>208</x:v>
      </x:c>
      <x:c r="J39" s="10" t="s">
        <x:v>56</x:v>
      </x:c>
      <x:c r="K39" s="10" t="s">
        <x:v>209</x:v>
      </x:c>
      <x:c r="L39" s="10" t="s">
        <x:v>56</x:v>
      </x:c>
      <x:c r="M39" s="9" t="s">
        <x:v>75</x:v>
      </x:c>
      <x:c r="N39" s="10" t="s">
        <x:v>210</x:v>
      </x:c>
      <x:c r="O39" s="14" t="s">
        <x:v>15</x:v>
      </x:c>
    </x:row>
    <x:row r="40" ht="210" customHeight="1">
      <x:c r="A40" s="9">
        <x:v>39.0</x:v>
      </x:c>
      <x:c r="B40" s="10" t="s">
        <x:v>106</x:v>
      </x:c>
      <x:c r="C40" s="9" t="s">
        <x:v>71</x:v>
      </x:c>
      <x:c r="D40" s="9" t="s">
        <x:v>21</x:v>
      </x:c>
      <x:c r="E40" s="10" t="s">
        <x:v>112</x:v>
      </x:c>
      <x:c r="F40" s="10" t="s">
        <x:v>50</x:v>
      </x:c>
      <x:c r="G40" s="10" t="s">
        <x:v>211</x:v>
      </x:c>
      <x:c r="H40" s="10" t="s">
        <x:v>56</x:v>
      </x:c>
      <x:c r="I40" s="10" t="s">
        <x:v>212</x:v>
      </x:c>
      <x:c r="J40" s="10" t="s">
        <x:v>56</x:v>
      </x:c>
      <x:c r="K40" s="10" t="s">
        <x:v>213</x:v>
      </x:c>
      <x:c r="L40" s="10" t="s">
        <x:v>56</x:v>
      </x:c>
      <x:c r="M40" s="9" t="s">
        <x:v>75</x:v>
      </x:c>
      <x:c r="N40" s="10" t="s">
        <x:v>214</x:v>
      </x:c>
      <x:c r="O40" s="14" t="s">
        <x:v>15</x:v>
      </x:c>
    </x:row>
    <x:row r="41" ht="210" customHeight="1">
      <x:c r="A41" s="9">
        <x:v>40.0</x:v>
      </x:c>
      <x:c r="B41" s="10" t="s">
        <x:v>106</x:v>
      </x:c>
      <x:c r="C41" s="9" t="s">
        <x:v>71</x:v>
      </x:c>
      <x:c r="D41" s="9" t="s">
        <x:v>22</x:v>
      </x:c>
      <x:c r="E41" s="10" t="s">
        <x:v>140</x:v>
      </x:c>
      <x:c r="F41" s="10" t="s">
        <x:v>50</x:v>
      </x:c>
      <x:c r="G41" s="10" t="s">
        <x:v>215</x:v>
      </x:c>
      <x:c r="H41" s="10" t="s">
        <x:v>50</x:v>
      </x:c>
      <x:c r="I41" s="10" t="s">
        <x:v>216</x:v>
      </x:c>
      <x:c r="J41" s="10" t="s">
        <x:v>56</x:v>
      </x:c>
      <x:c r="K41" s="10" t="s">
        <x:v>217</x:v>
      </x:c>
      <x:c r="L41" s="10" t="s">
        <x:v>56</x:v>
      </x:c>
      <x:c r="M41" s="9" t="s">
        <x:v>75</x:v>
      </x:c>
      <x:c r="N41" s="10" t="s">
        <x:v>218</x:v>
      </x:c>
      <x:c r="O41" s="14" t="s">
        <x:v>15</x:v>
      </x:c>
    </x:row>
    <x:row r="42" ht="210" customHeight="1">
      <x:c r="A42" s="9">
        <x:v>41.0</x:v>
      </x:c>
      <x:c r="B42" s="10" t="s">
        <x:v>106</x:v>
      </x:c>
      <x:c r="C42" s="9" t="s">
        <x:v>71</x:v>
      </x:c>
      <x:c r="D42" s="9" t="s">
        <x:v>23</x:v>
      </x:c>
      <x:c r="E42" s="10" t="s">
        <x:v>140</x:v>
      </x:c>
      <x:c r="F42" s="10" t="s">
        <x:v>50</x:v>
      </x:c>
      <x:c r="G42" s="10" t="s">
        <x:v>219</x:v>
      </x:c>
      <x:c r="H42" s="10" t="s">
        <x:v>50</x:v>
      </x:c>
      <x:c r="I42" s="10" t="s">
        <x:v>220</x:v>
      </x:c>
      <x:c r="J42" s="10" t="s">
        <x:v>56</x:v>
      </x:c>
      <x:c r="K42" s="10" t="s">
        <x:v>221</x:v>
      </x:c>
      <x:c r="L42" s="10" t="s">
        <x:v>56</x:v>
      </x:c>
      <x:c r="M42" s="9" t="s">
        <x:v>75</x:v>
      </x:c>
      <x:c r="N42" s="10" t="s">
        <x:v>222</x:v>
      </x:c>
      <x:c r="O42" s="14" t="s">
        <x:v>15</x:v>
      </x:c>
    </x:row>
    <x:row r="43" ht="210" customHeight="1">
      <x:c r="A43" s="9">
        <x:v>42.0</x:v>
      </x:c>
      <x:c r="B43" s="10" t="s">
        <x:v>106</x:v>
      </x:c>
      <x:c r="C43" s="9" t="s">
        <x:v>71</x:v>
      </x:c>
      <x:c r="D43" s="9" t="s">
        <x:v>24</x:v>
      </x:c>
      <x:c r="E43" s="10" t="s">
        <x:v>140</x:v>
      </x:c>
      <x:c r="F43" s="10" t="s">
        <x:v>50</x:v>
      </x:c>
      <x:c r="G43" s="10" t="s">
        <x:v>223</x:v>
      </x:c>
      <x:c r="H43" s="10" t="s">
        <x:v>50</x:v>
      </x:c>
      <x:c r="I43" s="10" t="s">
        <x:v>224</x:v>
      </x:c>
      <x:c r="J43" s="10" t="s">
        <x:v>56</x:v>
      </x:c>
      <x:c r="K43" s="10" t="s">
        <x:v>225</x:v>
      </x:c>
      <x:c r="L43" s="10" t="s">
        <x:v>56</x:v>
      </x:c>
      <x:c r="M43" s="9" t="s">
        <x:v>75</x:v>
      </x:c>
      <x:c r="N43" s="10" t="s">
        <x:v>226</x:v>
      </x:c>
      <x:c r="O43" s="14" t="s">
        <x:v>15</x:v>
      </x:c>
    </x:row>
    <x:row r="44" ht="210" customHeight="1">
      <x:c r="A44" s="9">
        <x:v>43.0</x:v>
      </x:c>
      <x:c r="B44" s="10" t="s">
        <x:v>106</x:v>
      </x:c>
      <x:c r="C44" s="9" t="s">
        <x:v>71</x:v>
      </x:c>
      <x:c r="D44" s="9" t="s">
        <x:v>25</x:v>
      </x:c>
      <x:c r="E44" s="10" t="s">
        <x:v>140</x:v>
      </x:c>
      <x:c r="F44" s="10" t="s">
        <x:v>50</x:v>
      </x:c>
      <x:c r="G44" s="10" t="s">
        <x:v>227</x:v>
      </x:c>
      <x:c r="H44" s="10" t="s">
        <x:v>50</x:v>
      </x:c>
      <x:c r="I44" s="10" t="s">
        <x:v>228</x:v>
      </x:c>
      <x:c r="J44" s="10" t="s">
        <x:v>56</x:v>
      </x:c>
      <x:c r="K44" s="10" t="s">
        <x:v>229</x:v>
      </x:c>
      <x:c r="L44" s="10" t="s">
        <x:v>56</x:v>
      </x:c>
      <x:c r="M44" s="9" t="s">
        <x:v>75</x:v>
      </x:c>
      <x:c r="N44" s="10" t="s">
        <x:v>230</x:v>
      </x:c>
      <x:c r="O44" s="14" t="s">
        <x:v>15</x:v>
      </x:c>
    </x:row>
    <x:row r="45" ht="210" customHeight="1">
      <x:c r="A45" s="9">
        <x:v>44.0</x:v>
      </x:c>
      <x:c r="B45" s="10" t="s">
        <x:v>106</x:v>
      </x:c>
      <x:c r="C45" s="9" t="s">
        <x:v>71</x:v>
      </x:c>
      <x:c r="D45" s="9" t="str">
        <x:v>Observed cookie/storage names</x:v>
      </x:c>
      <x:c r="E45" s="10" t="s">
        <x:v>117</x:v>
      </x:c>
      <x:c r="F45" s="10" t="s">
        <x:v>56</x:v>
      </x:c>
      <x:c r="G45" s="10" t="s">
        <x:v>122</x:v>
      </x:c>
      <x:c r="H45" s="10" t="s">
        <x:v>56</x:v>
      </x:c>
      <x:c r="I45" s="10" t="s">
        <x:v>123</x:v>
      </x:c>
      <x:c r="J45" s="10" t="s">
        <x:v>50</x:v>
      </x:c>
      <x:c r="K45" s="10" t="s">
        <x:v>231</x:v>
      </x:c>
      <x:c r="L45" s="10" t="s">
        <x:v>50</x:v>
      </x:c>
      <x:c r="M45" s="9" t="s">
        <x:v>232</x:v>
      </x:c>
      <x:c r="N45" s="10" t="s">
        <x:v>233</x:v>
      </x:c>
      <x:c r="O45" s="14" t="s">
        <x:v>15</x:v>
      </x:c>
    </x:row>
    <x:row r="46" ht="210" customHeight="1">
      <x:c r="A46" s="9">
        <x:v>45.0</x:v>
      </x:c>
      <x:c r="B46" s="10" t="s">
        <x:v>106</x:v>
      </x:c>
      <x:c r="C46" s="9" t="s">
        <x:v>234</x:v>
      </x:c>
      <x:c r="D46" s="9" t="s">
        <x:v>22</x:v>
      </x:c>
      <x:c r="E46" s="10" t="s">
        <x:v>107</x:v>
      </x:c>
      <x:c r="F46" s="10" t="s">
        <x:v>48</x:v>
      </x:c>
      <x:c r="G46" s="10" t="s">
        <x:v>108</x:v>
      </x:c>
      <x:c r="H46" s="10" t="s">
        <x:v>48</x:v>
      </x:c>
      <x:c r="I46" s="10" t="s">
        <x:v>109</x:v>
      </x:c>
      <x:c r="J46" s="10" t="s">
        <x:v>50</x:v>
      </x:c>
      <x:c r="K46" s="10" t="s">
        <x:v>235</x:v>
      </x:c>
      <x:c r="L46" s="10" t="s">
        <x:v>50</x:v>
      </x:c>
      <x:c r="M46" s="9" t="s">
        <x:v>52</x:v>
      </x:c>
      <x:c r="N46" s="10" t="s">
        <x:v>236</x:v>
      </x:c>
      <x:c r="O46" s="14" t="s">
        <x:v>15</x:v>
      </x:c>
    </x:row>
    <x:row r="47" ht="210" customHeight="1">
      <x:c r="A47" s="9">
        <x:v>46.0</x:v>
      </x:c>
      <x:c r="B47" s="10" t="s">
        <x:v>106</x:v>
      </x:c>
      <x:c r="C47" s="9" t="s">
        <x:v>234</x:v>
      </x:c>
      <x:c r="D47" s="9" t="str">
        <x:v>Observed cookie/storage names</x:v>
      </x:c>
      <x:c r="E47" s="10" t="s">
        <x:v>129</x:v>
      </x:c>
      <x:c r="F47" s="10" t="s">
        <x:v>56</x:v>
      </x:c>
      <x:c r="G47" s="10" t="s">
        <x:v>122</x:v>
      </x:c>
      <x:c r="H47" s="10" t="s">
        <x:v>46</x:v>
      </x:c>
      <x:c r="I47" s="10" t="s">
        <x:v>237</x:v>
      </x:c>
      <x:c r="J47" s="10" t="s">
        <x:v>46</x:v>
      </x:c>
      <x:c r="K47" s="10" t="s">
        <x:v>238</x:v>
      </x:c>
      <x:c r="L47" s="10" t="s">
        <x:v>46</x:v>
      </x:c>
      <x:c r="M47" s="9" t="s">
        <x:v>75</x:v>
      </x:c>
      <x:c r="N47" s="10" t="s">
        <x:v>239</x:v>
      </x:c>
      <x:c r="O47" s="14" t="s">
        <x:v>15</x:v>
      </x:c>
    </x:row>
    <x:row r="48" ht="210" customHeight="1">
      <x:c r="A48" s="9">
        <x:v>47.0</x:v>
      </x:c>
      <x:c r="B48" s="10" t="s">
        <x:v>106</x:v>
      </x:c>
      <x:c r="C48" s="9" t="s">
        <x:v>234</x:v>
      </x:c>
      <x:c r="D48" s="9" t="s">
        <x:v>26</x:v>
      </x:c>
      <x:c r="E48" s="10" t="s">
        <x:v>190</x:v>
      </x:c>
      <x:c r="F48" s="10" t="s">
        <x:v>50</x:v>
      </x:c>
      <x:c r="G48" s="10" t="s">
        <x:v>240</x:v>
      </x:c>
      <x:c r="H48" s="10" t="s">
        <x:v>48</x:v>
      </x:c>
      <x:c r="I48" s="10" t="s">
        <x:v>241</x:v>
      </x:c>
      <x:c r="J48" s="10" t="s">
        <x:v>50</x:v>
      </x:c>
      <x:c r="K48" s="10" t="s">
        <x:v>242</x:v>
      </x:c>
      <x:c r="L48" s="10" t="s">
        <x:v>50</x:v>
      </x:c>
      <x:c r="M48" s="9" t="s">
        <x:v>52</x:v>
      </x:c>
      <x:c r="N48" s="10" t="s">
        <x:v>243</x:v>
      </x:c>
      <x:c r="O48" s="14" t="s">
        <x:v>15</x:v>
      </x:c>
    </x:row>
    <x:row r="49" ht="210" customHeight="1">
      <x:c r="A49" s="9">
        <x:v>48.0</x:v>
      </x:c>
      <x:c r="B49" s="10" t="s">
        <x:v>106</x:v>
      </x:c>
      <x:c r="C49" s="9" t="s">
        <x:v>77</x:v>
      </x:c>
      <x:c r="D49" s="9" t="str">
        <x:v>Observed cookie/storage names</x:v>
      </x:c>
      <x:c r="E49" s="10" t="s">
        <x:v>117</x:v>
      </x:c>
      <x:c r="F49" s="10" t="s">
        <x:v>56</x:v>
      </x:c>
      <x:c r="G49" s="10" t="s">
        <x:v>122</x:v>
      </x:c>
      <x:c r="H49" s="10" t="s">
        <x:v>56</x:v>
      </x:c>
      <x:c r="I49" s="10" t="s">
        <x:v>123</x:v>
      </x:c>
      <x:c r="J49" s="10" t="s">
        <x:v>50</x:v>
      </x:c>
      <x:c r="K49" s="10" t="s">
        <x:v>244</x:v>
      </x:c>
      <x:c r="L49" s="10" t="s">
        <x:v>50</x:v>
      </x:c>
      <x:c r="M49" s="9" t="s">
        <x:v>52</x:v>
      </x:c>
      <x:c r="N49" s="10" t="s">
        <x:v>245</x:v>
      </x:c>
      <x:c r="O49" s="14" t="s">
        <x:v>15</x:v>
      </x:c>
    </x:row>
    <x:row r="50" ht="210" customHeight="1">
      <x:c r="A50" s="9">
        <x:v>49.0</x:v>
      </x:c>
      <x:c r="B50" s="10" t="s">
        <x:v>106</x:v>
      </x:c>
      <x:c r="C50" s="9" t="s">
        <x:v>77</x:v>
      </x:c>
      <x:c r="D50" s="9" t="s">
        <x:v>26</x:v>
      </x:c>
      <x:c r="E50" s="10" t="s">
        <x:v>160</x:v>
      </x:c>
      <x:c r="F50" s="10" t="s">
        <x:v>62</x:v>
      </x:c>
      <x:c r="G50" s="10" t="s">
        <x:v>246</x:v>
      </x:c>
      <x:c r="H50" s="10" t="s">
        <x:v>50</x:v>
      </x:c>
      <x:c r="I50" s="10" t="s">
        <x:v>247</x:v>
      </x:c>
      <x:c r="J50" s="10" t="s">
        <x:v>62</x:v>
      </x:c>
      <x:c r="K50" s="10" t="s">
        <x:v>248</x:v>
      </x:c>
      <x:c r="L50" s="10" t="s">
        <x:v>62</x:v>
      </x:c>
      <x:c r="M50" s="9" t="s">
        <x:v>52</x:v>
      </x:c>
      <x:c r="N50" s="10" t="s">
        <x:v>249</x:v>
      </x:c>
      <x:c r="O50" s="14" t="s">
        <x:v>15</x:v>
      </x:c>
    </x:row>
    <x:row r="51" ht="210" customHeight="1">
      <x:c r="A51" s="9">
        <x:v>50.0</x:v>
      </x:c>
      <x:c r="B51" s="10" t="s">
        <x:v>106</x:v>
      </x:c>
      <x:c r="C51" s="9" t="s">
        <x:v>82</x:v>
      </x:c>
      <x:c r="D51" s="9" t="str">
        <x:v>Observed cookie/storage names</x:v>
      </x:c>
      <x:c r="E51" s="10" t="s">
        <x:v>117</x:v>
      </x:c>
      <x:c r="F51" s="10" t="s">
        <x:v>56</x:v>
      </x:c>
      <x:c r="G51" s="10" t="s">
        <x:v>122</x:v>
      </x:c>
      <x:c r="H51" s="10" t="s">
        <x:v>56</x:v>
      </x:c>
      <x:c r="I51" s="10" t="s">
        <x:v>123</x:v>
      </x:c>
      <x:c r="J51" s="10" t="s">
        <x:v>50</x:v>
      </x:c>
      <x:c r="K51" s="10" t="s">
        <x:v>250</x:v>
      </x:c>
      <x:c r="L51" s="10" t="s">
        <x:v>50</x:v>
      </x:c>
      <x:c r="M51" s="9" t="s">
        <x:v>232</x:v>
      </x:c>
      <x:c r="N51" s="10" t="s">
        <x:v>251</x:v>
      </x:c>
      <x:c r="O51" s="14" t="s">
        <x:v>15</x:v>
      </x:c>
    </x:row>
    <x:row r="52" ht="210" customHeight="1">
      <x:c r="A52" s="9">
        <x:v>51.0</x:v>
      </x:c>
      <x:c r="B52" s="10" t="s">
        <x:v>106</x:v>
      </x:c>
      <x:c r="C52" s="9" t="s">
        <x:v>252</x:v>
      </x:c>
      <x:c r="D52" s="9" t="s">
        <x:v>23</x:v>
      </x:c>
      <x:c r="E52" s="10" t="s">
        <x:v>253</x:v>
      </x:c>
      <x:c r="F52" s="10" t="s">
        <x:v>50</x:v>
      </x:c>
      <x:c r="G52" s="10" t="s">
        <x:v>254</x:v>
      </x:c>
      <x:c r="H52" s="10" t="s">
        <x:v>62</x:v>
      </x:c>
      <x:c r="I52" s="10" t="s">
        <x:v>255</x:v>
      </x:c>
      <x:c r="J52" s="10" t="s">
        <x:v>62</x:v>
      </x:c>
      <x:c r="K52" s="10" t="s">
        <x:v>256</x:v>
      </x:c>
      <x:c r="L52" s="10" t="s">
        <x:v>62</x:v>
      </x:c>
      <x:c r="M52" s="9" t="s">
        <x:v>75</x:v>
      </x:c>
      <x:c r="N52" s="10" t="s">
        <x:v>257</x:v>
      </x:c>
      <x:c r="O52" s="14" t="s">
        <x:v>15</x:v>
      </x:c>
    </x:row>
    <x:row r="53" ht="210" customHeight="1">
      <x:c r="A53" s="9">
        <x:v>52.0</x:v>
      </x:c>
      <x:c r="B53" s="10" t="s">
        <x:v>106</x:v>
      </x:c>
      <x:c r="C53" s="9" t="s">
        <x:v>252</x:v>
      </x:c>
      <x:c r="D53" s="9" t="s">
        <x:v>24</x:v>
      </x:c>
      <x:c r="E53" s="10" t="s">
        <x:v>190</x:v>
      </x:c>
      <x:c r="F53" s="10" t="s">
        <x:v>50</x:v>
      </x:c>
      <x:c r="G53" s="10" t="s">
        <x:v>258</x:v>
      </x:c>
      <x:c r="H53" s="10" t="s">
        <x:v>62</x:v>
      </x:c>
      <x:c r="I53" s="10" t="s">
        <x:v>259</x:v>
      </x:c>
      <x:c r="J53" s="10" t="s">
        <x:v>50</x:v>
      </x:c>
      <x:c r="K53" s="10" t="s">
        <x:v>260</x:v>
      </x:c>
      <x:c r="L53" s="10" t="s">
        <x:v>50</x:v>
      </x:c>
      <x:c r="M53" s="9" t="s">
        <x:v>75</x:v>
      </x:c>
      <x:c r="N53" s="10" t="s">
        <x:v>261</x:v>
      </x:c>
      <x:c r="O53" s="14" t="s">
        <x:v>15</x:v>
      </x:c>
    </x:row>
    <x:row r="54" ht="210" customHeight="1">
      <x:c r="A54" s="9">
        <x:v>53.0</x:v>
      </x:c>
      <x:c r="B54" s="10" t="s">
        <x:v>106</x:v>
      </x:c>
      <x:c r="C54" s="9" t="s">
        <x:v>252</x:v>
      </x:c>
      <x:c r="D54" s="9" t="str">
        <x:v>Observed cookie/storage names</x:v>
      </x:c>
      <x:c r="E54" s="10" t="s">
        <x:v>190</x:v>
      </x:c>
      <x:c r="F54" s="10" t="s">
        <x:v>50</x:v>
      </x:c>
      <x:c r="G54" s="10" t="s">
        <x:v>262</x:v>
      </x:c>
      <x:c r="H54" s="10" t="s">
        <x:v>62</x:v>
      </x:c>
      <x:c r="I54" s="10" t="s">
        <x:v>263</x:v>
      </x:c>
      <x:c r="J54" s="10" t="s">
        <x:v>50</x:v>
      </x:c>
      <x:c r="K54" s="10" t="s">
        <x:v>264</x:v>
      </x:c>
      <x:c r="L54" s="10" t="s">
        <x:v>50</x:v>
      </x:c>
      <x:c r="M54" s="9" t="s">
        <x:v>75</x:v>
      </x:c>
      <x:c r="N54" s="10" t="s">
        <x:v>265</x:v>
      </x:c>
      <x:c r="O54" s="14" t="s">
        <x:v>15</x:v>
      </x:c>
    </x:row>
    <x:row r="55" ht="210" customHeight="1">
      <x:c r="A55" s="9">
        <x:v>54.0</x:v>
      </x:c>
      <x:c r="B55" s="10" t="s">
        <x:v>106</x:v>
      </x:c>
      <x:c r="C55" s="9" t="s">
        <x:v>266</x:v>
      </x:c>
      <x:c r="D55" s="9" t="s">
        <x:v>23</x:v>
      </x:c>
      <x:c r="E55" s="10" t="s">
        <x:v>253</x:v>
      </x:c>
      <x:c r="F55" s="10" t="s">
        <x:v>50</x:v>
      </x:c>
      <x:c r="G55" s="10" t="s">
        <x:v>267</x:v>
      </x:c>
      <x:c r="H55" s="10" t="s">
        <x:v>62</x:v>
      </x:c>
      <x:c r="I55" s="10" t="s">
        <x:v>268</x:v>
      </x:c>
      <x:c r="J55" s="10" t="s">
        <x:v>62</x:v>
      </x:c>
      <x:c r="K55" s="10" t="s">
        <x:v>269</x:v>
      </x:c>
      <x:c r="L55" s="10" t="s">
        <x:v>62</x:v>
      </x:c>
      <x:c r="M55" s="9" t="s">
        <x:v>75</x:v>
      </x:c>
      <x:c r="N55" s="10" t="s">
        <x:v>270</x:v>
      </x:c>
      <x:c r="O55" s="14" t="s">
        <x:v>15</x:v>
      </x:c>
    </x:row>
    <x:row r="56" ht="210" customHeight="1">
      <x:c r="A56" s="9">
        <x:v>55.0</x:v>
      </x:c>
      <x:c r="B56" s="10" t="s">
        <x:v>106</x:v>
      </x:c>
      <x:c r="C56" s="9" t="s">
        <x:v>266</x:v>
      </x:c>
      <x:c r="D56" s="9" t="s">
        <x:v>26</x:v>
      </x:c>
      <x:c r="E56" s="10" t="s">
        <x:v>160</x:v>
      </x:c>
      <x:c r="F56" s="10" t="s">
        <x:v>62</x:v>
      </x:c>
      <x:c r="G56" s="10" t="s">
        <x:v>271</x:v>
      </x:c>
      <x:c r="H56" s="10" t="s">
        <x:v>48</x:v>
      </x:c>
      <x:c r="I56" s="10" t="s">
        <x:v>272</x:v>
      </x:c>
      <x:c r="J56" s="10" t="s">
        <x:v>62</x:v>
      </x:c>
      <x:c r="K56" s="10" t="s">
        <x:v>273</x:v>
      </x:c>
      <x:c r="L56" s="10" t="s">
        <x:v>62</x:v>
      </x:c>
      <x:c r="M56" s="9" t="s">
        <x:v>52</x:v>
      </x:c>
      <x:c r="N56" s="10" t="s">
        <x:v>274</x:v>
      </x:c>
      <x:c r="O56" s="14" t="s">
        <x:v>15</x:v>
      </x:c>
    </x:row>
    <x:row r="57" ht="210" customHeight="1">
      <x:c r="A57" s="9">
        <x:v>56.0</x:v>
      </x:c>
      <x:c r="B57" s="10" t="s">
        <x:v>106</x:v>
      </x:c>
      <x:c r="C57" s="9" t="s">
        <x:v>87</x:v>
      </x:c>
      <x:c r="D57" s="9" t="s">
        <x:v>22</x:v>
      </x:c>
      <x:c r="E57" s="10" t="s">
        <x:v>112</x:v>
      </x:c>
      <x:c r="F57" s="10" t="s">
        <x:v>50</x:v>
      </x:c>
      <x:c r="G57" s="10" t="s">
        <x:v>275</x:v>
      </x:c>
      <x:c r="H57" s="10" t="s">
        <x:v>56</x:v>
      </x:c>
      <x:c r="I57" s="10" t="s">
        <x:v>276</x:v>
      </x:c>
      <x:c r="J57" s="10" t="s">
        <x:v>56</x:v>
      </x:c>
      <x:c r="K57" s="10" t="s">
        <x:v>277</x:v>
      </x:c>
      <x:c r="L57" s="10" t="str">
        <x:v>insufficient_retained_evidence</x:v>
      </x:c>
      <x:c r="M57" s="9" t="s">
        <x:v>232</x:v>
      </x:c>
      <x:c r="N57" s="10" t="str">
        <x:v>Human adjudication — The retained material shows that a retention section exists, but the capture ends before any retention period or substantive retention criteria are retained. The row therefore cannot be credited as observed from the available evidence.</x:v>
      </x:c>
      <x:c r="O57" s="14" t="str">
        <x:v>Reviewed</x:v>
      </x:c>
    </x:row>
    <x:row r="58" ht="210" customHeight="1">
      <x:c r="A58" s="9">
        <x:v>57.0</x:v>
      </x:c>
      <x:c r="B58" s="10" t="s">
        <x:v>106</x:v>
      </x:c>
      <x:c r="C58" s="9" t="s">
        <x:v>87</x:v>
      </x:c>
      <x:c r="D58" s="9" t="s">
        <x:v>25</x:v>
      </x:c>
      <x:c r="E58" s="10" t="s">
        <x:v>107</x:v>
      </x:c>
      <x:c r="F58" s="10" t="s">
        <x:v>48</x:v>
      </x:c>
      <x:c r="G58" s="10" t="s">
        <x:v>278</x:v>
      </x:c>
      <x:c r="H58" s="10" t="s">
        <x:v>48</x:v>
      </x:c>
      <x:c r="I58" s="10" t="s">
        <x:v>135</x:v>
      </x:c>
      <x:c r="J58" s="10" t="s">
        <x:v>50</x:v>
      </x:c>
      <x:c r="K58" s="10" t="s">
        <x:v>279</x:v>
      </x:c>
      <x:c r="L58" s="10" t="s">
        <x:v>50</x:v>
      </x:c>
      <x:c r="M58" s="9" t="s">
        <x:v>52</x:v>
      </x:c>
      <x:c r="N58" s="10" t="s">
        <x:v>280</x:v>
      </x:c>
      <x:c r="O58" s="14" t="s">
        <x:v>15</x:v>
      </x:c>
    </x:row>
    <x:row r="59" ht="210" customHeight="1">
      <x:c r="A59" s="9">
        <x:v>58.0</x:v>
      </x:c>
      <x:c r="B59" s="10" t="s">
        <x:v>106</x:v>
      </x:c>
      <x:c r="C59" s="9" t="s">
        <x:v>87</x:v>
      </x:c>
      <x:c r="D59" s="9" t="s">
        <x:v>26</x:v>
      </x:c>
      <x:c r="E59" s="10" t="s">
        <x:v>160</x:v>
      </x:c>
      <x:c r="F59" s="10" t="s">
        <x:v>62</x:v>
      </x:c>
      <x:c r="G59" s="10" t="s">
        <x:v>281</x:v>
      </x:c>
      <x:c r="H59" s="10" t="s">
        <x:v>48</x:v>
      </x:c>
      <x:c r="I59" s="10" t="s">
        <x:v>282</x:v>
      </x:c>
      <x:c r="J59" s="10" t="s">
        <x:v>62</x:v>
      </x:c>
      <x:c r="K59" s="10" t="s">
        <x:v>283</x:v>
      </x:c>
      <x:c r="L59" s="10" t="s">
        <x:v>50</x:v>
      </x:c>
      <x:c r="M59" s="9" t="s">
        <x:v>52</x:v>
      </x:c>
      <x:c r="N59" s="10" t="s">
        <x:v>284</x:v>
      </x:c>
      <x:c r="O59" s="14" t="s">
        <x:v>15</x:v>
      </x:c>
    </x:row>
    <x:row r="60" ht="210" customHeight="1">
      <x:c r="A60" s="9">
        <x:v>59.0</x:v>
      </x:c>
      <x:c r="B60" s="10" t="s">
        <x:v>106</x:v>
      </x:c>
      <x:c r="C60" s="9" t="s">
        <x:v>285</x:v>
      </x:c>
      <x:c r="D60" s="9" t="str">
        <x:v>Observed cookie/storage names</x:v>
      </x:c>
      <x:c r="E60" s="10" t="s">
        <x:v>117</x:v>
      </x:c>
      <x:c r="F60" s="10" t="s">
        <x:v>56</x:v>
      </x:c>
      <x:c r="G60" s="10" t="s">
        <x:v>122</x:v>
      </x:c>
      <x:c r="H60" s="10" t="s">
        <x:v>56</x:v>
      </x:c>
      <x:c r="I60" s="10" t="s">
        <x:v>123</x:v>
      </x:c>
      <x:c r="J60" s="10" t="s">
        <x:v>50</x:v>
      </x:c>
      <x:c r="K60" s="10" t="s">
        <x:v>286</x:v>
      </x:c>
      <x:c r="L60" s="10" t="s">
        <x:v>50</x:v>
      </x:c>
      <x:c r="M60" s="9" t="s">
        <x:v>52</x:v>
      </x:c>
      <x:c r="N60" s="10" t="s">
        <x:v>287</x:v>
      </x:c>
      <x:c r="O60" s="14" t="s">
        <x:v>15</x:v>
      </x:c>
    </x:row>
    <x:row r="61" ht="210" customHeight="1">
      <x:c r="A61" s="9">
        <x:v>60.0</x:v>
      </x:c>
      <x:c r="B61" s="10" t="s">
        <x:v>106</x:v>
      </x:c>
      <x:c r="C61" s="9" t="s">
        <x:v>288</x:v>
      </x:c>
      <x:c r="D61" s="9" t="s">
        <x:v>22</x:v>
      </x:c>
      <x:c r="E61" s="10" t="s">
        <x:v>140</x:v>
      </x:c>
      <x:c r="F61" s="10" t="s">
        <x:v>50</x:v>
      </x:c>
      <x:c r="G61" s="10" t="s">
        <x:v>289</x:v>
      </x:c>
      <x:c r="H61" s="10" t="s">
        <x:v>50</x:v>
      </x:c>
      <x:c r="I61" s="10" t="s">
        <x:v>290</x:v>
      </x:c>
      <x:c r="J61" s="10" t="s">
        <x:v>48</x:v>
      </x:c>
      <x:c r="K61" s="10" t="s">
        <x:v>291</x:v>
      </x:c>
      <x:c r="L61" s="10" t="s">
        <x:v>50</x:v>
      </x:c>
      <x:c r="M61" s="9" t="s">
        <x:v>52</x:v>
      </x:c>
      <x:c r="N61" s="10" t="s">
        <x:v>292</x:v>
      </x:c>
      <x:c r="O61" s="14" t="s">
        <x:v>15</x:v>
      </x:c>
    </x:row>
    <x:row r="62" ht="210" customHeight="1">
      <x:c r="A62" s="9">
        <x:v>61.0</x:v>
      </x:c>
      <x:c r="B62" s="10" t="s">
        <x:v>106</x:v>
      </x:c>
      <x:c r="C62" s="9" t="s">
        <x:v>288</x:v>
      </x:c>
      <x:c r="D62" s="9" t="s">
        <x:v>23</x:v>
      </x:c>
      <x:c r="E62" s="10" t="s">
        <x:v>133</x:v>
      </x:c>
      <x:c r="F62" s="10" t="s">
        <x:v>46</x:v>
      </x:c>
      <x:c r="G62" s="10" t="s">
        <x:v>293</x:v>
      </x:c>
      <x:c r="H62" s="10" t="s">
        <x:v>56</x:v>
      </x:c>
      <x:c r="I62" s="10" t="s">
        <x:v>294</x:v>
      </x:c>
      <x:c r="J62" s="10" t="s">
        <x:v>46</x:v>
      </x:c>
      <x:c r="K62" s="10" t="s">
        <x:v>295</x:v>
      </x:c>
      <x:c r="L62" s="10" t="s">
        <x:v>46</x:v>
      </x:c>
      <x:c r="M62" s="9" t="s">
        <x:v>52</x:v>
      </x:c>
      <x:c r="N62" s="10" t="s">
        <x:v>296</x:v>
      </x:c>
      <x:c r="O62" s="14" t="s">
        <x:v>15</x:v>
      </x:c>
    </x:row>
    <x:row r="63" ht="210" customHeight="1">
      <x:c r="A63" s="9">
        <x:v>62.0</x:v>
      </x:c>
      <x:c r="B63" s="10" t="s">
        <x:v>106</x:v>
      </x:c>
      <x:c r="C63" s="9" t="s">
        <x:v>288</x:v>
      </x:c>
      <x:c r="D63" s="9" t="s">
        <x:v>26</x:v>
      </x:c>
      <x:c r="E63" s="10" t="s">
        <x:v>140</x:v>
      </x:c>
      <x:c r="F63" s="10" t="s">
        <x:v>50</x:v>
      </x:c>
      <x:c r="G63" s="10" t="s">
        <x:v>297</x:v>
      </x:c>
      <x:c r="H63" s="10" t="s">
        <x:v>50</x:v>
      </x:c>
      <x:c r="I63" s="10" t="s">
        <x:v>298</x:v>
      </x:c>
      <x:c r="J63" s="10" t="s">
        <x:v>62</x:v>
      </x:c>
      <x:c r="K63" s="10" t="s">
        <x:v>299</x:v>
      </x:c>
      <x:c r="L63" s="10" t="s">
        <x:v>50</x:v>
      </x:c>
      <x:c r="M63" s="9" t="s">
        <x:v>52</x:v>
      </x:c>
      <x:c r="N63" s="10" t="s">
        <x:v>300</x:v>
      </x:c>
      <x:c r="O63" s="14" t="s">
        <x:v>15</x:v>
      </x:c>
    </x:row>
    <x:row r="64" ht="210" customHeight="1">
      <x:c r="A64" s="9">
        <x:v>63.0</x:v>
      </x:c>
      <x:c r="B64" s="10" t="s">
        <x:v>106</x:v>
      </x:c>
      <x:c r="C64" s="9" t="s">
        <x:v>92</x:v>
      </x:c>
      <x:c r="D64" s="9" t="s">
        <x:v>21</x:v>
      </x:c>
      <x:c r="E64" s="10" t="s">
        <x:v>117</x:v>
      </x:c>
      <x:c r="F64" s="10" t="s">
        <x:v>56</x:v>
      </x:c>
      <x:c r="G64" s="10" t="s">
        <x:v>301</x:v>
      </x:c>
      <x:c r="H64" s="10" t="s">
        <x:v>56</x:v>
      </x:c>
      <x:c r="I64" s="10" t="s">
        <x:v>302</x:v>
      </x:c>
      <x:c r="J64" s="10" t="s">
        <x:v>46</x:v>
      </x:c>
      <x:c r="K64" s="10" t="s">
        <x:v>303</x:v>
      </x:c>
      <x:c r="L64" s="10" t="s">
        <x:v>46</x:v>
      </x:c>
      <x:c r="M64" s="9" t="s">
        <x:v>52</x:v>
      </x:c>
      <x:c r="N64" s="10" t="s">
        <x:v>304</x:v>
      </x:c>
      <x:c r="O64" s="14" t="s">
        <x:v>15</x:v>
      </x:c>
    </x:row>
    <x:row r="65" ht="210" customHeight="1">
      <x:c r="A65" s="9">
        <x:v>64.0</x:v>
      </x:c>
      <x:c r="B65" s="10" t="s">
        <x:v>106</x:v>
      </x:c>
      <x:c r="C65" s="9" t="s">
        <x:v>92</x:v>
      </x:c>
      <x:c r="D65" s="9" t="s">
        <x:v>22</x:v>
      </x:c>
      <x:c r="E65" s="10" t="s">
        <x:v>117</x:v>
      </x:c>
      <x:c r="F65" s="10" t="s">
        <x:v>56</x:v>
      </x:c>
      <x:c r="G65" s="10" t="s">
        <x:v>305</x:v>
      </x:c>
      <x:c r="H65" s="10" t="s">
        <x:v>56</x:v>
      </x:c>
      <x:c r="I65" s="10" t="s">
        <x:v>306</x:v>
      </x:c>
      <x:c r="J65" s="10" t="s">
        <x:v>46</x:v>
      </x:c>
      <x:c r="K65" s="10" t="s">
        <x:v>307</x:v>
      </x:c>
      <x:c r="L65" s="10" t="s">
        <x:v>46</x:v>
      </x:c>
      <x:c r="M65" s="9" t="s">
        <x:v>52</x:v>
      </x:c>
      <x:c r="N65" s="10" t="s">
        <x:v>308</x:v>
      </x:c>
      <x:c r="O65" s="14" t="s">
        <x:v>15</x:v>
      </x:c>
    </x:row>
    <x:row r="66" ht="210" customHeight="1">
      <x:c r="A66" s="9">
        <x:v>65.0</x:v>
      </x:c>
      <x:c r="B66" s="10" t="s">
        <x:v>106</x:v>
      </x:c>
      <x:c r="C66" s="9" t="s">
        <x:v>92</x:v>
      </x:c>
      <x:c r="D66" s="9" t="s">
        <x:v>23</x:v>
      </x:c>
      <x:c r="E66" s="10" t="s">
        <x:v>117</x:v>
      </x:c>
      <x:c r="F66" s="10" t="s">
        <x:v>56</x:v>
      </x:c>
      <x:c r="G66" s="10" t="s">
        <x:v>309</x:v>
      </x:c>
      <x:c r="H66" s="10" t="s">
        <x:v>56</x:v>
      </x:c>
      <x:c r="I66" s="10" t="s">
        <x:v>310</x:v>
      </x:c>
      <x:c r="J66" s="10" t="s">
        <x:v>46</x:v>
      </x:c>
      <x:c r="K66" s="10" t="s">
        <x:v>311</x:v>
      </x:c>
      <x:c r="L66" s="10" t="s">
        <x:v>46</x:v>
      </x:c>
      <x:c r="M66" s="9" t="s">
        <x:v>52</x:v>
      </x:c>
      <x:c r="N66" s="10" t="s">
        <x:v>312</x:v>
      </x:c>
      <x:c r="O66" s="14" t="s">
        <x:v>15</x:v>
      </x:c>
    </x:row>
    <x:row r="67" ht="210" customHeight="1">
      <x:c r="A67" s="9">
        <x:v>66.0</x:v>
      </x:c>
      <x:c r="B67" s="10" t="s">
        <x:v>106</x:v>
      </x:c>
      <x:c r="C67" s="9" t="s">
        <x:v>92</x:v>
      </x:c>
      <x:c r="D67" s="9" t="s">
        <x:v>25</x:v>
      </x:c>
      <x:c r="E67" s="10" t="s">
        <x:v>117</x:v>
      </x:c>
      <x:c r="F67" s="10" t="s">
        <x:v>56</x:v>
      </x:c>
      <x:c r="G67" s="10" t="s">
        <x:v>313</x:v>
      </x:c>
      <x:c r="H67" s="10" t="s">
        <x:v>56</x:v>
      </x:c>
      <x:c r="I67" s="10" t="s">
        <x:v>314</x:v>
      </x:c>
      <x:c r="J67" s="10" t="s">
        <x:v>46</x:v>
      </x:c>
      <x:c r="K67" s="10" t="s">
        <x:v>315</x:v>
      </x:c>
      <x:c r="L67" s="10" t="s">
        <x:v>46</x:v>
      </x:c>
      <x:c r="M67" s="9" t="s">
        <x:v>52</x:v>
      </x:c>
      <x:c r="N67" s="10" t="s">
        <x:v>316</x:v>
      </x:c>
      <x:c r="O67" s="14" t="s">
        <x:v>15</x:v>
      </x:c>
    </x:row>
    <x:row r="68" ht="210" customHeight="1">
      <x:c r="A68" s="9">
        <x:v>67.0</x:v>
      </x:c>
      <x:c r="B68" s="10" t="s">
        <x:v>106</x:v>
      </x:c>
      <x:c r="C68" s="9" t="s">
        <x:v>92</x:v>
      </x:c>
      <x:c r="D68" s="9" t="str">
        <x:v>Observed cookie/storage names</x:v>
      </x:c>
      <x:c r="E68" s="10" t="s">
        <x:v>117</x:v>
      </x:c>
      <x:c r="F68" s="10" t="s">
        <x:v>56</x:v>
      </x:c>
      <x:c r="G68" s="10" t="s">
        <x:v>317</x:v>
      </x:c>
      <x:c r="H68" s="10" t="s">
        <x:v>56</x:v>
      </x:c>
      <x:c r="I68" s="10" t="s">
        <x:v>318</x:v>
      </x:c>
      <x:c r="J68" s="10" t="s">
        <x:v>46</x:v>
      </x:c>
      <x:c r="K68" s="10" t="s">
        <x:v>319</x:v>
      </x:c>
      <x:c r="L68" s="10" t="s">
        <x:v>46</x:v>
      </x:c>
      <x:c r="M68" s="9" t="s">
        <x:v>52</x:v>
      </x:c>
      <x:c r="N68" s="10" t="s">
        <x:v>320</x:v>
      </x:c>
      <x:c r="O68" s="14" t="s">
        <x:v>15</x:v>
      </x:c>
    </x:row>
    <x:row r="69" ht="210" customHeight="1">
      <x:c r="A69" s="9">
        <x:v>68.0</x:v>
      </x:c>
      <x:c r="B69" s="10" t="s">
        <x:v>106</x:v>
      </x:c>
      <x:c r="C69" s="9" t="s">
        <x:v>92</x:v>
      </x:c>
      <x:c r="D69" s="9" t="s">
        <x:v>26</x:v>
      </x:c>
      <x:c r="E69" s="10" t="s">
        <x:v>112</x:v>
      </x:c>
      <x:c r="F69" s="10" t="s">
        <x:v>50</x:v>
      </x:c>
      <x:c r="G69" s="10" t="s">
        <x:v>321</x:v>
      </x:c>
      <x:c r="H69" s="10" t="s">
        <x:v>56</x:v>
      </x:c>
      <x:c r="I69" s="10" t="s">
        <x:v>322</x:v>
      </x:c>
      <x:c r="J69" s="10" t="s">
        <x:v>56</x:v>
      </x:c>
      <x:c r="K69" s="10" t="s">
        <x:v>323</x:v>
      </x:c>
      <x:c r="L69" s="10" t="s">
        <x:v>56</x:v>
      </x:c>
      <x:c r="M69" s="9" t="s">
        <x:v>75</x:v>
      </x:c>
      <x:c r="N69" s="10" t="s">
        <x:v>324</x:v>
      </x:c>
      <x:c r="O69" s="14" t="s">
        <x:v>15</x:v>
      </x:c>
    </x:row>
    <x:row r="70" ht="210" customHeight="1">
      <x:c r="A70" s="9">
        <x:v>69.0</x:v>
      </x:c>
      <x:c r="B70" s="10" t="s">
        <x:v>106</x:v>
      </x:c>
      <x:c r="C70" s="9" t="s">
        <x:v>325</x:v>
      </x:c>
      <x:c r="D70" s="9" t="s">
        <x:v>22</x:v>
      </x:c>
      <x:c r="E70" s="10" t="s">
        <x:v>140</x:v>
      </x:c>
      <x:c r="F70" s="10" t="s">
        <x:v>50</x:v>
      </x:c>
      <x:c r="G70" s="10" t="s">
        <x:v>326</x:v>
      </x:c>
      <x:c r="H70" s="10" t="s">
        <x:v>50</x:v>
      </x:c>
      <x:c r="I70" s="10" t="s">
        <x:v>327</x:v>
      </x:c>
      <x:c r="J70" s="10" t="s">
        <x:v>48</x:v>
      </x:c>
      <x:c r="K70" s="10" t="s">
        <x:v>328</x:v>
      </x:c>
      <x:c r="L70" s="10" t="s">
        <x:v>50</x:v>
      </x:c>
      <x:c r="M70" s="9" t="s">
        <x:v>52</x:v>
      </x:c>
      <x:c r="N70" s="10" t="s">
        <x:v>329</x:v>
      </x:c>
      <x:c r="O70" s="14" t="s">
        <x:v>15</x:v>
      </x:c>
    </x:row>
    <x:row r="71" ht="210" customHeight="1">
      <x:c r="A71" s="9">
        <x:v>70.0</x:v>
      </x:c>
      <x:c r="B71" s="10" t="s">
        <x:v>106</x:v>
      </x:c>
      <x:c r="C71" s="9" t="s">
        <x:v>325</x:v>
      </x:c>
      <x:c r="D71" s="9" t="s">
        <x:v>26</x:v>
      </x:c>
      <x:c r="E71" s="10" t="s">
        <x:v>140</x:v>
      </x:c>
      <x:c r="F71" s="10" t="s">
        <x:v>50</x:v>
      </x:c>
      <x:c r="G71" s="10" t="s">
        <x:v>330</x:v>
      </x:c>
      <x:c r="H71" s="10" t="s">
        <x:v>50</x:v>
      </x:c>
      <x:c r="I71" s="10" t="s">
        <x:v>331</x:v>
      </x:c>
      <x:c r="J71" s="10" t="s">
        <x:v>62</x:v>
      </x:c>
      <x:c r="K71" s="10" t="s">
        <x:v>332</x:v>
      </x:c>
      <x:c r="L71" s="10" t="s">
        <x:v>50</x:v>
      </x:c>
      <x:c r="M71" s="9" t="s">
        <x:v>52</x:v>
      </x:c>
      <x:c r="N71" s="10" t="s">
        <x:v>333</x:v>
      </x:c>
      <x:c r="O71" s="14" t="s">
        <x:v>15</x:v>
      </x:c>
    </x:row>
    <x:row r="72" ht="210" customHeight="1">
      <x:c r="A72" s="9">
        <x:v>71.0</x:v>
      </x:c>
      <x:c r="B72" s="10" t="s">
        <x:v>106</x:v>
      </x:c>
      <x:c r="C72" s="9" t="s">
        <x:v>101</x:v>
      </x:c>
      <x:c r="D72" s="9" t="s">
        <x:v>21</x:v>
      </x:c>
      <x:c r="E72" s="10" t="s">
        <x:v>133</x:v>
      </x:c>
      <x:c r="F72" s="10" t="s">
        <x:v>46</x:v>
      </x:c>
      <x:c r="G72" s="10" t="s">
        <x:v>334</x:v>
      </x:c>
      <x:c r="H72" s="10" t="s">
        <x:v>56</x:v>
      </x:c>
      <x:c r="I72" s="10" t="s">
        <x:v>335</x:v>
      </x:c>
      <x:c r="J72" s="10" t="s">
        <x:v>46</x:v>
      </x:c>
      <x:c r="K72" s="10" t="s">
        <x:v>336</x:v>
      </x:c>
      <x:c r="L72" s="10" t="s">
        <x:v>46</x:v>
      </x:c>
      <x:c r="M72" s="9" t="s">
        <x:v>52</x:v>
      </x:c>
      <x:c r="N72" s="10" t="s">
        <x:v>337</x:v>
      </x:c>
      <x:c r="O72" s="14" t="s">
        <x:v>15</x:v>
      </x:c>
    </x:row>
    <x:row r="73" ht="210" customHeight="1">
      <x:c r="A73" s="9">
        <x:v>72.0</x:v>
      </x:c>
      <x:c r="B73" s="10" t="s">
        <x:v>106</x:v>
      </x:c>
      <x:c r="C73" s="9" t="s">
        <x:v>101</x:v>
      </x:c>
      <x:c r="D73" s="9" t="s">
        <x:v>22</x:v>
      </x:c>
      <x:c r="E73" s="10" t="s">
        <x:v>133</x:v>
      </x:c>
      <x:c r="F73" s="10" t="s">
        <x:v>46</x:v>
      </x:c>
      <x:c r="G73" s="10" t="s">
        <x:v>338</x:v>
      </x:c>
      <x:c r="H73" s="10" t="s">
        <x:v>56</x:v>
      </x:c>
      <x:c r="I73" s="10" t="s">
        <x:v>339</x:v>
      </x:c>
      <x:c r="J73" s="10" t="s">
        <x:v>46</x:v>
      </x:c>
      <x:c r="K73" s="10" t="s">
        <x:v>340</x:v>
      </x:c>
      <x:c r="L73" s="10" t="s">
        <x:v>46</x:v>
      </x:c>
      <x:c r="M73" s="9" t="s">
        <x:v>52</x:v>
      </x:c>
      <x:c r="N73" s="10" t="s">
        <x:v>341</x:v>
      </x:c>
      <x:c r="O73" s="14" t="s">
        <x:v>15</x:v>
      </x:c>
    </x:row>
    <x:row r="74" ht="210" customHeight="1">
      <x:c r="A74" s="9">
        <x:v>73.0</x:v>
      </x:c>
      <x:c r="B74" s="10" t="s">
        <x:v>106</x:v>
      </x:c>
      <x:c r="C74" s="9" t="s">
        <x:v>101</x:v>
      </x:c>
      <x:c r="D74" s="9" t="s">
        <x:v>23</x:v>
      </x:c>
      <x:c r="E74" s="10" t="s">
        <x:v>133</x:v>
      </x:c>
      <x:c r="F74" s="10" t="s">
        <x:v>46</x:v>
      </x:c>
      <x:c r="G74" s="10" t="s">
        <x:v>342</x:v>
      </x:c>
      <x:c r="H74" s="10" t="s">
        <x:v>56</x:v>
      </x:c>
      <x:c r="I74" s="10" t="s">
        <x:v>343</x:v>
      </x:c>
      <x:c r="J74" s="10" t="s">
        <x:v>46</x:v>
      </x:c>
      <x:c r="K74" s="10" t="s">
        <x:v>344</x:v>
      </x:c>
      <x:c r="L74" s="10" t="s">
        <x:v>46</x:v>
      </x:c>
      <x:c r="M74" s="9" t="s">
        <x:v>52</x:v>
      </x:c>
      <x:c r="N74" s="10" t="s">
        <x:v>345</x:v>
      </x:c>
      <x:c r="O74" s="14" t="s">
        <x:v>15</x:v>
      </x:c>
    </x:row>
    <x:row r="75" ht="210" customHeight="1">
      <x:c r="A75" s="9">
        <x:v>74.0</x:v>
      </x:c>
      <x:c r="B75" s="10" t="s">
        <x:v>106</x:v>
      </x:c>
      <x:c r="C75" s="9" t="s">
        <x:v>101</x:v>
      </x:c>
      <x:c r="D75" s="9" t="s">
        <x:v>24</x:v>
      </x:c>
      <x:c r="E75" s="10" t="s">
        <x:v>133</x:v>
      </x:c>
      <x:c r="F75" s="10" t="s">
        <x:v>46</x:v>
      </x:c>
      <x:c r="G75" s="10" t="s">
        <x:v>346</x:v>
      </x:c>
      <x:c r="H75" s="10" t="s">
        <x:v>56</x:v>
      </x:c>
      <x:c r="I75" s="10" t="s">
        <x:v>347</x:v>
      </x:c>
      <x:c r="J75" s="10" t="s">
        <x:v>46</x:v>
      </x:c>
      <x:c r="K75" s="10" t="s">
        <x:v>348</x:v>
      </x:c>
      <x:c r="L75" s="10" t="s">
        <x:v>46</x:v>
      </x:c>
      <x:c r="M75" s="9" t="s">
        <x:v>52</x:v>
      </x:c>
      <x:c r="N75" s="10" t="s">
        <x:v>349</x:v>
      </x:c>
      <x:c r="O75" s="14" t="s">
        <x:v>15</x:v>
      </x:c>
    </x:row>
    <x:row r="76" ht="210" customHeight="1">
      <x:c r="A76" s="9">
        <x:v>75.0</x:v>
      </x:c>
      <x:c r="B76" s="10" t="s">
        <x:v>106</x:v>
      </x:c>
      <x:c r="C76" s="9" t="s">
        <x:v>101</x:v>
      </x:c>
      <x:c r="D76" s="9" t="s">
        <x:v>25</x:v>
      </x:c>
      <x:c r="E76" s="10" t="s">
        <x:v>133</x:v>
      </x:c>
      <x:c r="F76" s="10" t="s">
        <x:v>46</x:v>
      </x:c>
      <x:c r="G76" s="10" t="s">
        <x:v>350</x:v>
      </x:c>
      <x:c r="H76" s="10" t="s">
        <x:v>56</x:v>
      </x:c>
      <x:c r="I76" s="10" t="s">
        <x:v>351</x:v>
      </x:c>
      <x:c r="J76" s="10" t="s">
        <x:v>46</x:v>
      </x:c>
      <x:c r="K76" s="10" t="s">
        <x:v>352</x:v>
      </x:c>
      <x:c r="L76" s="10" t="s">
        <x:v>46</x:v>
      </x:c>
      <x:c r="M76" s="9" t="s">
        <x:v>52</x:v>
      </x:c>
      <x:c r="N76" s="10" t="s">
        <x:v>353</x:v>
      </x:c>
      <x:c r="O76" s="14" t="s">
        <x:v>15</x:v>
      </x:c>
    </x:row>
    <x:row r="77" ht="210" customHeight="1">
      <x:c r="A77" s="9">
        <x:v>76.0</x:v>
      </x:c>
      <x:c r="B77" s="10" t="s">
        <x:v>106</x:v>
      </x:c>
      <x:c r="C77" s="9" t="s">
        <x:v>101</x:v>
      </x:c>
      <x:c r="D77" s="9" t="str">
        <x:v>Observed cookie/storage names</x:v>
      </x:c>
      <x:c r="E77" s="10" t="s">
        <x:v>117</x:v>
      </x:c>
      <x:c r="F77" s="10" t="s">
        <x:v>56</x:v>
      </x:c>
      <x:c r="G77" s="10" t="s">
        <x:v>122</x:v>
      </x:c>
      <x:c r="H77" s="10" t="s">
        <x:v>56</x:v>
      </x:c>
      <x:c r="I77" s="10" t="s">
        <x:v>123</x:v>
      </x:c>
      <x:c r="J77" s="10" t="s">
        <x:v>50</x:v>
      </x:c>
      <x:c r="K77" s="10" t="s">
        <x:v>354</x:v>
      </x:c>
      <x:c r="L77" s="10" t="s">
        <x:v>50</x:v>
      </x:c>
      <x:c r="M77" s="9" t="s">
        <x:v>232</x:v>
      </x:c>
      <x:c r="N77" s="10" t="s">
        <x:v>355</x:v>
      </x:c>
      <x:c r="O77" s="14" t="s">
        <x:v>15</x:v>
      </x:c>
    </x:row>
    <x:row r="78" ht="210" customHeight="1">
      <x:c r="A78" s="9">
        <x:v>77.0</x:v>
      </x:c>
      <x:c r="B78" s="10" t="s">
        <x:v>106</x:v>
      </x:c>
      <x:c r="C78" s="9" t="s">
        <x:v>101</x:v>
      </x:c>
      <x:c r="D78" s="9" t="s">
        <x:v>26</x:v>
      </x:c>
      <x:c r="E78" s="10" t="s">
        <x:v>112</x:v>
      </x:c>
      <x:c r="F78" s="10" t="s">
        <x:v>50</x:v>
      </x:c>
      <x:c r="G78" s="10" t="s">
        <x:v>356</x:v>
      </x:c>
      <x:c r="H78" s="10" t="s">
        <x:v>56</x:v>
      </x:c>
      <x:c r="I78" s="10" t="s">
        <x:v>357</x:v>
      </x:c>
      <x:c r="J78" s="10" t="s">
        <x:v>56</x:v>
      </x:c>
      <x:c r="K78" s="10" t="s">
        <x:v>358</x:v>
      </x:c>
      <x:c r="L78" s="10" t="s">
        <x:v>56</x:v>
      </x:c>
      <x:c r="M78" s="9" t="s">
        <x:v>75</x:v>
      </x:c>
      <x:c r="N78" s="10" t="s">
        <x:v>359</x:v>
      </x:c>
      <x:c r="O78" s="14" t="s">
        <x:v>15</x:v>
      </x:c>
    </x:row>
    <x:row r="79" ht="210" customHeight="1">
      <x:c r="A79" s="9">
        <x:v>78.0</x:v>
      </x:c>
      <x:c r="B79" s="10" t="s">
        <x:v>106</x:v>
      </x:c>
      <x:c r="C79" s="9" t="s">
        <x:v>360</x:v>
      </x:c>
      <x:c r="D79" s="9" t="s">
        <x:v>20</x:v>
      </x:c>
      <x:c r="E79" s="10" t="s">
        <x:v>140</x:v>
      </x:c>
      <x:c r="F79" s="10" t="s">
        <x:v>50</x:v>
      </x:c>
      <x:c r="G79" s="10" t="s">
        <x:v>361</x:v>
      </x:c>
      <x:c r="H79" s="10" t="s">
        <x:v>50</x:v>
      </x:c>
      <x:c r="I79" s="10" t="s">
        <x:v>362</x:v>
      </x:c>
      <x:c r="J79" s="10" t="s">
        <x:v>56</x:v>
      </x:c>
      <x:c r="K79" s="10" t="s">
        <x:v>363</x:v>
      </x:c>
      <x:c r="L79" s="10" t="s">
        <x:v>50</x:v>
      </x:c>
      <x:c r="M79" s="9" t="s">
        <x:v>52</x:v>
      </x:c>
      <x:c r="N79" s="10" t="s">
        <x:v>364</x:v>
      </x:c>
      <x:c r="O79" s="14" t="s">
        <x:v>15</x:v>
      </x:c>
    </x:row>
    <x:row r="80" ht="210" customHeight="1">
      <x:c r="A80" s="9">
        <x:v>79.0</x:v>
      </x:c>
      <x:c r="B80" s="10" t="s">
        <x:v>106</x:v>
      </x:c>
      <x:c r="C80" s="9" t="s">
        <x:v>360</x:v>
      </x:c>
      <x:c r="D80" s="9" t="s">
        <x:v>24</x:v>
      </x:c>
      <x:c r="E80" s="10" t="s">
        <x:v>140</x:v>
      </x:c>
      <x:c r="F80" s="10" t="s">
        <x:v>50</x:v>
      </x:c>
      <x:c r="G80" s="10" t="s">
        <x:v>365</x:v>
      </x:c>
      <x:c r="H80" s="10" t="s">
        <x:v>50</x:v>
      </x:c>
      <x:c r="I80" s="10" t="s">
        <x:v>366</x:v>
      </x:c>
      <x:c r="J80" s="10" t="s">
        <x:v>46</x:v>
      </x:c>
      <x:c r="K80" s="10" t="s">
        <x:v>367</x:v>
      </x:c>
      <x:c r="L80" s="10" t="s">
        <x:v>50</x:v>
      </x:c>
      <x:c r="M80" s="9" t="s">
        <x:v>52</x:v>
      </x:c>
      <x:c r="N80" s="10" t="s">
        <x:v>368</x:v>
      </x:c>
      <x:c r="O80" s="14" t="s">
        <x:v>15</x:v>
      </x:c>
    </x:row>
    <x:row r="81" ht="210" customHeight="1">
      <x:c r="A81" s="9">
        <x:v>80.0</x:v>
      </x:c>
      <x:c r="B81" s="10" t="s">
        <x:v>106</x:v>
      </x:c>
      <x:c r="C81" s="9" t="s">
        <x:v>360</x:v>
      </x:c>
      <x:c r="D81" s="9" t="str">
        <x:v>Observed cookie/storage names</x:v>
      </x:c>
      <x:c r="E81" s="10" t="s">
        <x:v>117</x:v>
      </x:c>
      <x:c r="F81" s="10" t="s">
        <x:v>56</x:v>
      </x:c>
      <x:c r="G81" s="10" t="s">
        <x:v>122</x:v>
      </x:c>
      <x:c r="H81" s="10" t="s">
        <x:v>56</x:v>
      </x:c>
      <x:c r="I81" s="10" t="s">
        <x:v>123</x:v>
      </x:c>
      <x:c r="J81" s="10" t="s">
        <x:v>50</x:v>
      </x:c>
      <x:c r="K81" s="10" t="s">
        <x:v>369</x:v>
      </x:c>
      <x:c r="L81" s="10" t="s">
        <x:v>50</x:v>
      </x:c>
      <x:c r="M81" s="9" t="s">
        <x:v>52</x:v>
      </x:c>
      <x:c r="N81" s="10" t="s">
        <x:v>370</x:v>
      </x:c>
      <x:c r="O81" s="14" t="s">
        <x:v>15</x:v>
      </x:c>
    </x:row>
    <x:row r="82" ht="210" customHeight="1">
      <x:c r="A82" s="9">
        <x:v>81.0</x:v>
      </x:c>
      <x:c r="B82" s="10" t="s">
        <x:v>106</x:v>
      </x:c>
      <x:c r="C82" s="9" t="s">
        <x:v>360</x:v>
      </x:c>
      <x:c r="D82" s="9" t="s">
        <x:v>26</x:v>
      </x:c>
      <x:c r="E82" s="10" t="s">
        <x:v>190</x:v>
      </x:c>
      <x:c r="F82" s="10" t="s">
        <x:v>50</x:v>
      </x:c>
      <x:c r="G82" s="10" t="s">
        <x:v>371</x:v>
      </x:c>
      <x:c r="H82" s="10" t="s">
        <x:v>56</x:v>
      </x:c>
      <x:c r="I82" s="10" t="s">
        <x:v>372</x:v>
      </x:c>
      <x:c r="J82" s="10" t="s">
        <x:v>50</x:v>
      </x:c>
      <x:c r="K82" s="10" t="s">
        <x:v>373</x:v>
      </x:c>
      <x:c r="L82" s="10" t="s">
        <x:v>50</x:v>
      </x:c>
      <x:c r="M82" s="9" t="s">
        <x:v>52</x:v>
      </x:c>
      <x:c r="N82" s="10" t="s">
        <x:v>374</x:v>
      </x:c>
      <x:c r="O82" s="14" t="s">
        <x:v>15</x:v>
      </x:c>
    </x:row>
    <x:row r="83" ht="210" customHeight="1">
      <x:c r="A83" s="9">
        <x:v>82.0</x:v>
      </x:c>
      <x:c r="B83" s="10" t="s">
        <x:v>106</x:v>
      </x:c>
      <x:c r="C83" s="9" t="s">
        <x:v>375</x:v>
      </x:c>
      <x:c r="D83" s="9" t="s">
        <x:v>24</x:v>
      </x:c>
      <x:c r="E83" s="10" t="s">
        <x:v>117</x:v>
      </x:c>
      <x:c r="F83" s="10" t="s">
        <x:v>56</x:v>
      </x:c>
      <x:c r="G83" s="10" t="s">
        <x:v>376</x:v>
      </x:c>
      <x:c r="H83" s="10" t="s">
        <x:v>56</x:v>
      </x:c>
      <x:c r="I83" s="10" t="s">
        <x:v>377</x:v>
      </x:c>
      <x:c r="J83" s="10" t="s">
        <x:v>46</x:v>
      </x:c>
      <x:c r="K83" s="10" t="s">
        <x:v>378</x:v>
      </x:c>
      <x:c r="L83" s="10" t="s">
        <x:v>46</x:v>
      </x:c>
      <x:c r="M83" s="9" t="s">
        <x:v>52</x:v>
      </x:c>
      <x:c r="N83" s="10" t="s">
        <x:v>379</x:v>
      </x:c>
      <x:c r="O83" s="14" t="s">
        <x:v>15</x:v>
      </x:c>
    </x:row>
    <x:row r="84" ht="210" customHeight="1">
      <x:c r="A84" s="9">
        <x:v>83.0</x:v>
      </x:c>
      <x:c r="B84" s="10" t="s">
        <x:v>106</x:v>
      </x:c>
      <x:c r="C84" s="9" t="s">
        <x:v>380</x:v>
      </x:c>
      <x:c r="D84" s="9" t="s">
        <x:v>20</x:v>
      </x:c>
      <x:c r="E84" s="10" t="s">
        <x:v>381</x:v>
      </x:c>
      <x:c r="F84" s="10" t="s">
        <x:v>56</x:v>
      </x:c>
      <x:c r="G84" s="10" t="s">
        <x:v>382</x:v>
      </x:c>
      <x:c r="H84" s="10" t="s">
        <x:v>50</x:v>
      </x:c>
      <x:c r="I84" s="10" t="s">
        <x:v>383</x:v>
      </x:c>
      <x:c r="J84" s="10" t="s">
        <x:v>56</x:v>
      </x:c>
      <x:c r="K84" s="10" t="s">
        <x:v>384</x:v>
      </x:c>
      <x:c r="L84" s="10" t="s">
        <x:v>56</x:v>
      </x:c>
      <x:c r="M84" s="9" t="s">
        <x:v>52</x:v>
      </x:c>
      <x:c r="N84" s="10" t="s">
        <x:v>385</x:v>
      </x:c>
      <x:c r="O84" s="14" t="s">
        <x:v>15</x:v>
      </x:c>
    </x:row>
    <x:row r="85" ht="210" customHeight="1">
      <x:c r="A85" s="9">
        <x:v>84.0</x:v>
      </x:c>
      <x:c r="B85" s="10" t="s">
        <x:v>106</x:v>
      </x:c>
      <x:c r="C85" s="9" t="s">
        <x:v>380</x:v>
      </x:c>
      <x:c r="D85" s="9" t="s">
        <x:v>23</x:v>
      </x:c>
      <x:c r="E85" s="10" t="s">
        <x:v>117</x:v>
      </x:c>
      <x:c r="F85" s="10" t="s">
        <x:v>56</x:v>
      </x:c>
      <x:c r="G85" s="10" t="s">
        <x:v>386</x:v>
      </x:c>
      <x:c r="H85" s="10" t="s">
        <x:v>56</x:v>
      </x:c>
      <x:c r="I85" s="10" t="s">
        <x:v>387</x:v>
      </x:c>
      <x:c r="J85" s="10" t="s">
        <x:v>46</x:v>
      </x:c>
      <x:c r="K85" s="10" t="s">
        <x:v>388</x:v>
      </x:c>
      <x:c r="L85" s="10" t="s">
        <x:v>46</x:v>
      </x:c>
      <x:c r="M85" s="9" t="s">
        <x:v>52</x:v>
      </x:c>
      <x:c r="N85" s="10" t="s">
        <x:v>389</x:v>
      </x:c>
      <x:c r="O85" s="14" t="s">
        <x:v>15</x:v>
      </x:c>
    </x:row>
    <x:row r="86" ht="210" customHeight="1">
      <x:c r="A86" s="9">
        <x:v>85.0</x:v>
      </x:c>
      <x:c r="B86" s="10" t="s">
        <x:v>106</x:v>
      </x:c>
      <x:c r="C86" s="9" t="s">
        <x:v>380</x:v>
      </x:c>
      <x:c r="D86" s="9" t="str">
        <x:v>Observed cookie/storage names</x:v>
      </x:c>
      <x:c r="E86" s="10" t="s">
        <x:v>390</x:v>
      </x:c>
      <x:c r="F86" s="10" t="s">
        <x:v>46</x:v>
      </x:c>
      <x:c r="G86" s="10" t="s">
        <x:v>391</x:v>
      </x:c>
      <x:c r="H86" s="10" t="s">
        <x:v>46</x:v>
      </x:c>
      <x:c r="I86" s="10" t="s">
        <x:v>392</x:v>
      </x:c>
      <x:c r="J86" s="10" t="s">
        <x:v>50</x:v>
      </x:c>
      <x:c r="K86" s="10" t="s">
        <x:v>393</x:v>
      </x:c>
      <x:c r="L86" s="10" t="s">
        <x:v>50</x:v>
      </x:c>
      <x:c r="M86" s="9" t="s">
        <x:v>52</x:v>
      </x:c>
      <x:c r="N86" s="10" t="s">
        <x:v>394</x:v>
      </x:c>
      <x:c r="O86" s="14" t="s">
        <x:v>15</x:v>
      </x:c>
    </x:row>
    <x:row r="87" ht="210" customHeight="1">
      <x:c r="A87" s="9">
        <x:v>86.0</x:v>
      </x:c>
      <x:c r="B87" s="10" t="s">
        <x:v>106</x:v>
      </x:c>
      <x:c r="C87" s="9" t="s">
        <x:v>380</x:v>
      </x:c>
      <x:c r="D87" s="9" t="s">
        <x:v>26</x:v>
      </x:c>
      <x:c r="E87" s="10" t="s">
        <x:v>112</x:v>
      </x:c>
      <x:c r="F87" s="10" t="s">
        <x:v>50</x:v>
      </x:c>
      <x:c r="G87" s="10" t="s">
        <x:v>395</x:v>
      </x:c>
      <x:c r="H87" s="10" t="s">
        <x:v>56</x:v>
      </x:c>
      <x:c r="I87" s="10" t="s">
        <x:v>396</x:v>
      </x:c>
      <x:c r="J87" s="10" t="s">
        <x:v>56</x:v>
      </x:c>
      <x:c r="K87" s="10" t="s">
        <x:v>397</x:v>
      </x:c>
      <x:c r="L87" s="10" t="s">
        <x:v>56</x:v>
      </x:c>
      <x:c r="M87" s="9" t="s">
        <x:v>75</x:v>
      </x:c>
      <x:c r="N87" s="10" t="s">
        <x:v>398</x:v>
      </x:c>
      <x:c r="O87" s="14" t="s">
        <x:v>15</x:v>
      </x:c>
    </x:row>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conditionalFormatting sqref="F2:F87">
    <x:cfRule type="cellIs" dxfId="0" priority="1" operator="equal">
      <x:formula>"observed"</x:formula>
    </x:cfRule>
  </x:conditionalFormatting>
  <x:conditionalFormatting sqref="F2:F87">
    <x:cfRule type="cellIs" dxfId="1" priority="2" operator="equal">
      <x:formula>"not_observed_with_sufficient_coverage"</x:formula>
    </x:cfRule>
  </x:conditionalFormatting>
  <x:conditionalFormatting sqref="F2:F87">
    <x:cfRule type="cellIs" dxfId="2" priority="3" operator="equal">
      <x:formula>"ambiguous"</x:formula>
    </x:cfRule>
  </x:conditionalFormatting>
  <x:conditionalFormatting sqref="F2:F87">
    <x:cfRule type="cellIs" dxfId="3" priority="4" operator="equal">
      <x:formula>"conflicting"</x:formula>
    </x:cfRule>
  </x:conditionalFormatting>
  <x:conditionalFormatting sqref="F2:F87">
    <x:cfRule type="cellIs" dxfId="4" priority="5" operator="equal">
      <x:formula>"insufficient_retained_evidence"</x:formula>
    </x:cfRule>
  </x:conditionalFormatting>
  <x:conditionalFormatting sqref="H2:H87">
    <x:cfRule type="cellIs" dxfId="0" priority="6" operator="equal">
      <x:formula>"observed"</x:formula>
    </x:cfRule>
  </x:conditionalFormatting>
  <x:conditionalFormatting sqref="H2:H87">
    <x:cfRule type="cellIs" dxfId="1" priority="7" operator="equal">
      <x:formula>"not_observed_with_sufficient_coverage"</x:formula>
    </x:cfRule>
  </x:conditionalFormatting>
  <x:conditionalFormatting sqref="H2:H87">
    <x:cfRule type="cellIs" dxfId="2" priority="8" operator="equal">
      <x:formula>"ambiguous"</x:formula>
    </x:cfRule>
  </x:conditionalFormatting>
  <x:conditionalFormatting sqref="H2:H87">
    <x:cfRule type="cellIs" dxfId="3" priority="9" operator="equal">
      <x:formula>"conflicting"</x:formula>
    </x:cfRule>
  </x:conditionalFormatting>
  <x:conditionalFormatting sqref="H2:H87">
    <x:cfRule type="cellIs" dxfId="4" priority="10" operator="equal">
      <x:formula>"insufficient_retained_evidence"</x:formula>
    </x:cfRule>
  </x:conditionalFormatting>
  <x:conditionalFormatting sqref="J2:J87">
    <x:cfRule type="cellIs" dxfId="0" priority="11" operator="equal">
      <x:formula>"observed"</x:formula>
    </x:cfRule>
  </x:conditionalFormatting>
  <x:conditionalFormatting sqref="J2:J87">
    <x:cfRule type="cellIs" dxfId="1" priority="12" operator="equal">
      <x:formula>"not_observed_with_sufficient_coverage"</x:formula>
    </x:cfRule>
  </x:conditionalFormatting>
  <x:conditionalFormatting sqref="J2:J87">
    <x:cfRule type="cellIs" dxfId="2" priority="13" operator="equal">
      <x:formula>"ambiguous"</x:formula>
    </x:cfRule>
  </x:conditionalFormatting>
  <x:conditionalFormatting sqref="J2:J87">
    <x:cfRule type="cellIs" dxfId="3" priority="14" operator="equal">
      <x:formula>"conflicting"</x:formula>
    </x:cfRule>
  </x:conditionalFormatting>
  <x:conditionalFormatting sqref="J2:J87">
    <x:cfRule type="cellIs" dxfId="4" priority="15" operator="equal">
      <x:formula>"insufficient_retained_evidence"</x:formula>
    </x:cfRule>
  </x:conditionalFormatting>
  <x:conditionalFormatting sqref="L2:L87">
    <x:cfRule type="cellIs" dxfId="0" priority="16" operator="equal">
      <x:formula>"observed"</x:formula>
    </x:cfRule>
  </x:conditionalFormatting>
  <x:conditionalFormatting sqref="L2:L87">
    <x:cfRule type="cellIs" dxfId="1" priority="17" operator="equal">
      <x:formula>"not_observed_with_sufficient_coverage"</x:formula>
    </x:cfRule>
  </x:conditionalFormatting>
  <x:conditionalFormatting sqref="L2:L87">
    <x:cfRule type="cellIs" dxfId="2" priority="18" operator="equal">
      <x:formula>"ambiguous"</x:formula>
    </x:cfRule>
  </x:conditionalFormatting>
  <x:conditionalFormatting sqref="L2:L87">
    <x:cfRule type="cellIs" dxfId="3" priority="19" operator="equal">
      <x:formula>"conflicting"</x:formula>
    </x:cfRule>
  </x:conditionalFormatting>
  <x:conditionalFormatting sqref="L2:L87">
    <x:cfRule type="cellIs" dxfId="4" priority="20" operator="equal">
      <x:formula>"insufficient_retained_evidence"</x:formula>
    </x:cfRule>
  </x:conditionalFormatting>
  <x:conditionalFormatting sqref="B2:B87">
    <x:cfRule type="containsText" dxfId="1" priority="21" operator="containsText" text="Three-way split">
      <x:formula>NOT(ISERROR(SEARCH(("Three-way split"),(B2))))</x:formula>
    </x:cfRule>
  </x:conditionalFormatting>
  <x:conditionalFormatting sqref="B2:B87">
    <x:cfRule type="containsText" dxfId="2" priority="22" operator="containsText" text="2-model majority">
      <x:formula>NOT(ISERROR(SEARCH(("2-model majority"),(B2))))</x:formula>
    </x:cfRule>
  </x:conditionalFormatting>
  <x:conditionalFormatting sqref="E2:E87">
    <x:cfRule type="containsText" dxfId="5" priority="23" operator="containsText" text="No majority">
      <x:formula>NOT(ISERROR(SEARCH(("No majority"),(E2))))</x:formula>
    </x:cfRule>
  </x:conditionalFormatting>
  <x:conditionalFormatting sqref="O2:O87">
    <x:cfRule type="cellIs" dxfId="0" priority="24" operator="equal">
      <x:formula>"Reviewed"</x:formula>
    </x:cfRule>
  </x:conditionalFormatting>
  <x:conditionalFormatting sqref="O2:O87">
    <x:cfRule type="cellIs" dxfId="2" priority="25" operator="equal">
      <x:formula>"Needs follow-up"</x:formula>
    </x:cfRule>
  </x:conditionalFormatting>
  <x:dataValidations count="3">
    <x:dataValidation type="list" allowBlank="1" sqref="O2:O87">
      <x:formula1>"Not reviewed,Reviewed,Needs follow-up"</x:formula1>
    </x:dataValidation>
    <x:dataValidation type="list" allowBlank="1" sqref="M2:M87">
      <x:formula1>"High,Medium,Low"</x:formula1>
    </x:dataValidation>
    <x:dataValidation type="list" allowBlank="1" sqref="L2:L87">
      <x:formula1>"observed,not_observed_with_sufficient_coverage,ambiguous,conflicting,insufficient_retained_evidence"</x:formula1>
    </x:dataValidation>
  </x:dataValidations>
  <x:pageMargins left="0.7" right="0.7" top="0.75" bottom="0.75" header="0.3" footer="0.3"/>
</x:worksheet>
</file>